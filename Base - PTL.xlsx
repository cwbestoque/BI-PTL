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8C27C676-4D9D-4696-BEDF-A0ABFB5E7E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stao" sheetId="1" r:id="rId1"/>
    <sheet name="Endereços" sheetId="4" r:id="rId2"/>
    <sheet name="Produtos" sheetId="3" r:id="rId3"/>
  </sheets>
  <definedNames>
    <definedName name="_xlnm._FilterDatabase" localSheetId="2" hidden="1">Produtos!$A$1:$B$424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05" i="1" l="1"/>
  <c r="J1204" i="1"/>
  <c r="J120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50" i="1"/>
  <c r="J1251" i="1"/>
  <c r="J1252" i="1"/>
  <c r="J1253" i="1"/>
  <c r="J1254" i="1"/>
  <c r="J1255" i="1"/>
  <c r="J1269" i="1"/>
  <c r="J1270" i="1"/>
  <c r="J1271" i="1"/>
  <c r="J1294" i="1"/>
  <c r="J1295" i="1"/>
  <c r="K9" i="1"/>
  <c r="K2" i="1"/>
  <c r="K3" i="1"/>
  <c r="K4" i="1"/>
  <c r="K5" i="1"/>
  <c r="K6" i="1"/>
  <c r="K7" i="1"/>
  <c r="K11" i="1"/>
  <c r="K12" i="1"/>
  <c r="K13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53" i="1"/>
  <c r="K58" i="1"/>
  <c r="K64" i="1"/>
  <c r="K65" i="1"/>
  <c r="K66" i="1"/>
  <c r="K67" i="1"/>
  <c r="K68" i="1"/>
  <c r="K69" i="1"/>
  <c r="K76" i="1"/>
  <c r="K77" i="1"/>
  <c r="K83" i="1"/>
  <c r="K84" i="1"/>
  <c r="K85" i="1"/>
  <c r="K86" i="1"/>
  <c r="K88" i="1"/>
  <c r="K91" i="1"/>
  <c r="K94" i="1"/>
  <c r="K96" i="1"/>
  <c r="K97" i="1"/>
  <c r="K98" i="1"/>
  <c r="K101" i="1"/>
  <c r="K102" i="1"/>
  <c r="K106" i="1"/>
  <c r="K107" i="1"/>
  <c r="K108" i="1"/>
  <c r="K109" i="1"/>
  <c r="K112" i="1"/>
  <c r="K114" i="1"/>
  <c r="K116" i="1"/>
  <c r="K118" i="1"/>
  <c r="K119" i="1"/>
  <c r="K120" i="1"/>
  <c r="K121" i="1"/>
  <c r="K124" i="1"/>
  <c r="K125" i="1"/>
  <c r="K126" i="1"/>
  <c r="K127" i="1"/>
  <c r="K128" i="1"/>
  <c r="K129" i="1"/>
  <c r="K130" i="1"/>
  <c r="K131" i="1"/>
  <c r="K133" i="1"/>
  <c r="K134" i="1"/>
  <c r="K135" i="1"/>
  <c r="K136" i="1"/>
  <c r="K140" i="1"/>
  <c r="K141" i="1"/>
  <c r="K142" i="1"/>
  <c r="K144" i="1"/>
  <c r="K145" i="1"/>
  <c r="K146" i="1"/>
  <c r="K147" i="1"/>
  <c r="K148" i="1"/>
  <c r="K149" i="1"/>
  <c r="K150" i="1"/>
  <c r="K151" i="1"/>
  <c r="K152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70" i="1"/>
  <c r="K171" i="1"/>
  <c r="K172" i="1"/>
  <c r="K173" i="1"/>
  <c r="K174" i="1"/>
  <c r="K180" i="1"/>
  <c r="K181" i="1"/>
  <c r="K183" i="1"/>
  <c r="K184" i="1"/>
  <c r="K185" i="1"/>
  <c r="K186" i="1"/>
  <c r="K187" i="1"/>
  <c r="K188" i="1"/>
  <c r="K189" i="1"/>
  <c r="K190" i="1"/>
  <c r="K191" i="1"/>
  <c r="K192" i="1"/>
  <c r="K193" i="1"/>
  <c r="K195" i="1"/>
  <c r="K198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6" i="1"/>
  <c r="K219" i="1"/>
  <c r="K221" i="1"/>
  <c r="K222" i="1"/>
  <c r="K223" i="1"/>
  <c r="K224" i="1"/>
  <c r="K227" i="1"/>
  <c r="K229" i="1"/>
  <c r="K230" i="1"/>
  <c r="K232" i="1"/>
  <c r="K235" i="1"/>
  <c r="K236" i="1"/>
  <c r="K237" i="1"/>
  <c r="K238" i="1"/>
  <c r="K239" i="1"/>
  <c r="K240" i="1"/>
  <c r="K244" i="1"/>
  <c r="K245" i="1"/>
  <c r="K246" i="1"/>
  <c r="K249" i="1"/>
  <c r="K250" i="1"/>
  <c r="K251" i="1"/>
  <c r="K252" i="1"/>
  <c r="K253" i="1"/>
  <c r="K254" i="1"/>
  <c r="K256" i="1"/>
  <c r="K257" i="1"/>
  <c r="K259" i="1"/>
  <c r="K261" i="1"/>
  <c r="K262" i="1"/>
  <c r="K263" i="1"/>
  <c r="K264" i="1"/>
  <c r="K266" i="1"/>
  <c r="K267" i="1"/>
  <c r="K276" i="1"/>
  <c r="K277" i="1"/>
  <c r="K278" i="1"/>
  <c r="K279" i="1"/>
  <c r="K281" i="1"/>
  <c r="K285" i="1"/>
  <c r="K286" i="1"/>
  <c r="K287" i="1"/>
  <c r="K288" i="1"/>
  <c r="K289" i="1"/>
  <c r="K290" i="1"/>
  <c r="K294" i="1"/>
  <c r="K295" i="1"/>
  <c r="K296" i="1"/>
  <c r="K300" i="1"/>
  <c r="K301" i="1"/>
  <c r="K302" i="1"/>
  <c r="K307" i="1"/>
  <c r="K308" i="1"/>
  <c r="K309" i="1"/>
  <c r="K310" i="1"/>
  <c r="K313" i="1"/>
  <c r="K314" i="1"/>
  <c r="K315" i="1"/>
  <c r="K316" i="1"/>
  <c r="K317" i="1"/>
  <c r="K322" i="1"/>
  <c r="K323" i="1"/>
  <c r="K324" i="1"/>
  <c r="K325" i="1"/>
  <c r="K330" i="1"/>
  <c r="K331" i="1"/>
  <c r="K332" i="1"/>
  <c r="K333" i="1"/>
  <c r="K337" i="1"/>
  <c r="K338" i="1"/>
  <c r="K339" i="1"/>
  <c r="K340" i="1"/>
  <c r="K341" i="1"/>
  <c r="K342" i="1"/>
  <c r="K347" i="1"/>
  <c r="K348" i="1"/>
  <c r="K349" i="1"/>
  <c r="K350" i="1"/>
  <c r="K351" i="1"/>
  <c r="K352" i="1"/>
  <c r="K358" i="1"/>
  <c r="K359" i="1"/>
  <c r="K360" i="1"/>
  <c r="K361" i="1"/>
  <c r="K362" i="1"/>
  <c r="K363" i="1"/>
  <c r="K366" i="1"/>
  <c r="K369" i="1"/>
  <c r="K370" i="1"/>
  <c r="K371" i="1"/>
  <c r="K372" i="1"/>
  <c r="K373" i="1"/>
  <c r="K374" i="1"/>
  <c r="K377" i="1"/>
  <c r="K378" i="1"/>
  <c r="K379" i="1"/>
  <c r="K380" i="1"/>
  <c r="K381" i="1"/>
  <c r="K382" i="1"/>
  <c r="K383" i="1"/>
  <c r="K384" i="1"/>
  <c r="K385" i="1"/>
  <c r="K389" i="1"/>
  <c r="K390" i="1"/>
  <c r="K391" i="1"/>
  <c r="K392" i="1"/>
  <c r="K393" i="1"/>
  <c r="K394" i="1"/>
  <c r="K395" i="1"/>
  <c r="K396" i="1"/>
  <c r="K397" i="1"/>
  <c r="K400" i="1"/>
  <c r="K401" i="1"/>
  <c r="K403" i="1"/>
  <c r="K404" i="1"/>
  <c r="K408" i="1"/>
  <c r="K409" i="1"/>
  <c r="K410" i="1"/>
  <c r="K412" i="1"/>
  <c r="K413" i="1"/>
  <c r="K416" i="1"/>
  <c r="K417" i="1"/>
  <c r="K419" i="1"/>
  <c r="K420" i="1"/>
  <c r="K421" i="1"/>
  <c r="K422" i="1"/>
  <c r="K423" i="1"/>
  <c r="K424" i="1"/>
  <c r="K428" i="1"/>
  <c r="K429" i="1"/>
  <c r="K430" i="1"/>
  <c r="K431" i="1"/>
  <c r="K432" i="1"/>
  <c r="K435" i="1"/>
  <c r="K437" i="1"/>
  <c r="K439" i="1"/>
  <c r="K441" i="1"/>
  <c r="K445" i="1"/>
  <c r="K447" i="1"/>
  <c r="K450" i="1"/>
  <c r="K451" i="1"/>
  <c r="K452" i="1"/>
  <c r="K453" i="1"/>
  <c r="K454" i="1"/>
  <c r="K455" i="1"/>
  <c r="K456" i="1"/>
  <c r="K457" i="1"/>
  <c r="K458" i="1"/>
  <c r="K465" i="1"/>
  <c r="K467" i="1"/>
  <c r="K468" i="1"/>
  <c r="K470" i="1"/>
  <c r="K471" i="1"/>
  <c r="K473" i="1"/>
  <c r="K474" i="1"/>
  <c r="K475" i="1"/>
  <c r="K479" i="1"/>
  <c r="K480" i="1"/>
  <c r="K481" i="1"/>
  <c r="K482" i="1"/>
  <c r="K486" i="1"/>
  <c r="K487" i="1"/>
  <c r="K488" i="1"/>
  <c r="K491" i="1"/>
  <c r="K492" i="1"/>
  <c r="K493" i="1"/>
  <c r="K498" i="1"/>
  <c r="K499" i="1"/>
  <c r="K500" i="1"/>
  <c r="K501" i="1"/>
  <c r="K504" i="1"/>
  <c r="K505" i="1"/>
  <c r="K506" i="1"/>
  <c r="K511" i="1"/>
  <c r="K512" i="1"/>
  <c r="K513" i="1"/>
  <c r="K514" i="1"/>
  <c r="K516" i="1"/>
  <c r="K517" i="1"/>
  <c r="K518" i="1"/>
  <c r="K519" i="1"/>
  <c r="K520" i="1"/>
  <c r="K524" i="1"/>
  <c r="K525" i="1"/>
  <c r="K526" i="1"/>
  <c r="K527" i="1"/>
  <c r="K528" i="1"/>
  <c r="K529" i="1"/>
  <c r="K533" i="1"/>
  <c r="K534" i="1"/>
  <c r="K535" i="1"/>
  <c r="K536" i="1"/>
  <c r="K537" i="1"/>
  <c r="K538" i="1"/>
  <c r="K539" i="1"/>
  <c r="K540" i="1"/>
  <c r="K544" i="1"/>
  <c r="K545" i="1"/>
  <c r="K546" i="1"/>
  <c r="K549" i="1"/>
  <c r="K550" i="1"/>
  <c r="K551" i="1"/>
  <c r="K552" i="1"/>
  <c r="K553" i="1"/>
  <c r="K554" i="1"/>
  <c r="K555" i="1"/>
  <c r="K557" i="1"/>
  <c r="K558" i="1"/>
  <c r="K559" i="1"/>
  <c r="K560" i="1"/>
  <c r="K561" i="1"/>
  <c r="K562" i="1"/>
  <c r="K563" i="1"/>
  <c r="K564" i="1"/>
  <c r="K565" i="1"/>
  <c r="K566" i="1"/>
  <c r="K567" i="1"/>
  <c r="K569" i="1"/>
  <c r="K572" i="1"/>
  <c r="K573" i="1"/>
  <c r="K574" i="1"/>
  <c r="K575" i="1"/>
  <c r="K577" i="1"/>
  <c r="K578" i="1"/>
  <c r="K580" i="1"/>
  <c r="K581" i="1"/>
  <c r="K582" i="1"/>
  <c r="K586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4" i="1"/>
  <c r="K605" i="1"/>
  <c r="K606" i="1"/>
  <c r="K613" i="1"/>
  <c r="K614" i="1"/>
  <c r="K615" i="1"/>
  <c r="K624" i="1"/>
  <c r="K626" i="1"/>
  <c r="K627" i="1"/>
  <c r="K630" i="1"/>
  <c r="K631" i="1"/>
  <c r="K633" i="1"/>
  <c r="K634" i="1"/>
  <c r="K635" i="1"/>
  <c r="K637" i="1"/>
  <c r="K639" i="1"/>
  <c r="K640" i="1"/>
  <c r="K641" i="1"/>
  <c r="K642" i="1"/>
  <c r="K643" i="1"/>
  <c r="K646" i="1"/>
  <c r="K647" i="1"/>
  <c r="K648" i="1"/>
  <c r="K649" i="1"/>
  <c r="K655" i="1"/>
  <c r="K656" i="1"/>
  <c r="K657" i="1"/>
  <c r="K658" i="1"/>
  <c r="K662" i="1"/>
  <c r="K663" i="1"/>
  <c r="K664" i="1"/>
  <c r="K665" i="1"/>
  <c r="K667" i="1"/>
  <c r="K669" i="1"/>
  <c r="K671" i="1"/>
  <c r="K672" i="1"/>
  <c r="K673" i="1"/>
  <c r="K674" i="1"/>
  <c r="K676" i="1"/>
  <c r="K678" i="1"/>
  <c r="K680" i="1"/>
  <c r="K681" i="1"/>
  <c r="K682" i="1"/>
  <c r="K683" i="1"/>
  <c r="K684" i="1"/>
  <c r="K685" i="1"/>
  <c r="K686" i="1"/>
  <c r="K687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15" i="1"/>
  <c r="K716" i="1"/>
  <c r="K717" i="1"/>
  <c r="K718" i="1"/>
  <c r="K722" i="1"/>
  <c r="K723" i="1"/>
  <c r="K724" i="1"/>
  <c r="K725" i="1"/>
  <c r="K728" i="1"/>
  <c r="K729" i="1"/>
  <c r="K730" i="1"/>
  <c r="K731" i="1"/>
  <c r="K732" i="1"/>
  <c r="K733" i="1"/>
  <c r="K734" i="1"/>
  <c r="K735" i="1"/>
  <c r="K736" i="1"/>
  <c r="K740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7" i="1"/>
  <c r="K758" i="1"/>
  <c r="K759" i="1"/>
  <c r="K761" i="1"/>
  <c r="K762" i="1"/>
  <c r="K763" i="1"/>
  <c r="K767" i="1"/>
  <c r="K768" i="1"/>
  <c r="K770" i="1"/>
  <c r="K771" i="1"/>
  <c r="K772" i="1"/>
  <c r="K776" i="1"/>
  <c r="K777" i="1"/>
  <c r="K778" i="1"/>
  <c r="K779" i="1"/>
  <c r="K780" i="1"/>
  <c r="K789" i="1"/>
  <c r="K790" i="1"/>
  <c r="K791" i="1"/>
  <c r="K794" i="1"/>
  <c r="K798" i="1"/>
  <c r="K799" i="1"/>
  <c r="K802" i="1"/>
  <c r="K803" i="1"/>
  <c r="K804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3" i="1"/>
  <c r="K824" i="1"/>
  <c r="K825" i="1"/>
  <c r="K826" i="1"/>
  <c r="K827" i="1"/>
  <c r="K828" i="1"/>
  <c r="K829" i="1"/>
  <c r="K831" i="1"/>
  <c r="K832" i="1"/>
  <c r="K833" i="1"/>
  <c r="K836" i="1"/>
  <c r="K837" i="1"/>
  <c r="K838" i="1"/>
  <c r="K839" i="1"/>
  <c r="K842" i="1"/>
  <c r="K843" i="1"/>
  <c r="K844" i="1"/>
  <c r="K845" i="1"/>
  <c r="K848" i="1"/>
  <c r="K850" i="1"/>
  <c r="K852" i="1"/>
  <c r="K853" i="1"/>
  <c r="K855" i="1"/>
  <c r="K856" i="1"/>
  <c r="K859" i="1"/>
  <c r="K860" i="1"/>
  <c r="K863" i="1"/>
  <c r="K864" i="1"/>
  <c r="K865" i="1"/>
  <c r="K866" i="1"/>
  <c r="K868" i="1"/>
  <c r="K869" i="1"/>
  <c r="K871" i="1"/>
  <c r="K872" i="1"/>
  <c r="K873" i="1"/>
  <c r="K874" i="1"/>
  <c r="K875" i="1"/>
  <c r="K876" i="1"/>
  <c r="K877" i="1"/>
  <c r="K880" i="1"/>
  <c r="K882" i="1"/>
  <c r="K883" i="1"/>
  <c r="K884" i="1"/>
  <c r="K885" i="1"/>
  <c r="K886" i="1"/>
  <c r="K887" i="1"/>
  <c r="K888" i="1"/>
  <c r="K890" i="1"/>
  <c r="K891" i="1"/>
  <c r="K892" i="1"/>
  <c r="K893" i="1"/>
  <c r="K898" i="1"/>
  <c r="K899" i="1"/>
  <c r="K900" i="1"/>
  <c r="K901" i="1"/>
  <c r="K902" i="1"/>
  <c r="K903" i="1"/>
  <c r="K904" i="1"/>
  <c r="K905" i="1"/>
  <c r="K906" i="1"/>
  <c r="K907" i="1"/>
  <c r="K908" i="1"/>
  <c r="K910" i="1"/>
  <c r="K911" i="1"/>
  <c r="K912" i="1"/>
  <c r="K913" i="1"/>
  <c r="K914" i="1"/>
  <c r="K916" i="1"/>
  <c r="K919" i="1"/>
  <c r="K920" i="1"/>
  <c r="K922" i="1"/>
  <c r="K924" i="1"/>
  <c r="K926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4" i="1"/>
  <c r="K945" i="1"/>
  <c r="K946" i="1"/>
  <c r="K950" i="1"/>
  <c r="K951" i="1"/>
  <c r="K955" i="1"/>
  <c r="K956" i="1"/>
  <c r="K957" i="1"/>
  <c r="K958" i="1"/>
  <c r="K961" i="1"/>
  <c r="K962" i="1"/>
  <c r="K964" i="1"/>
  <c r="K965" i="1"/>
  <c r="K966" i="1"/>
  <c r="K968" i="1"/>
  <c r="K969" i="1"/>
  <c r="K970" i="1"/>
  <c r="K971" i="1"/>
  <c r="K976" i="1"/>
  <c r="K977" i="1"/>
  <c r="K978" i="1"/>
  <c r="K979" i="1"/>
  <c r="K980" i="1"/>
  <c r="K981" i="1"/>
  <c r="K982" i="1"/>
  <c r="K983" i="1"/>
  <c r="K984" i="1"/>
  <c r="K986" i="1"/>
  <c r="K988" i="1"/>
  <c r="K990" i="1"/>
  <c r="K991" i="1"/>
  <c r="K993" i="1"/>
  <c r="K996" i="1"/>
  <c r="K997" i="1"/>
  <c r="K998" i="1"/>
  <c r="K1000" i="1"/>
  <c r="K1002" i="1"/>
  <c r="K1007" i="1"/>
  <c r="K1009" i="1"/>
  <c r="K1010" i="1"/>
  <c r="K1011" i="1"/>
  <c r="K1018" i="1"/>
  <c r="K1019" i="1"/>
  <c r="K1020" i="1"/>
  <c r="K1021" i="1"/>
  <c r="K1022" i="1"/>
  <c r="K1031" i="1"/>
  <c r="K1039" i="1"/>
  <c r="K1040" i="1"/>
  <c r="K1041" i="1"/>
  <c r="K1043" i="1"/>
  <c r="K1047" i="1"/>
  <c r="K1049" i="1"/>
  <c r="K1051" i="1"/>
  <c r="K1057" i="1"/>
  <c r="K1058" i="1"/>
  <c r="K1059" i="1"/>
  <c r="K1060" i="1"/>
  <c r="K1061" i="1"/>
  <c r="K1062" i="1"/>
  <c r="K1063" i="1"/>
  <c r="K1064" i="1"/>
  <c r="K1070" i="1"/>
  <c r="K1072" i="1"/>
  <c r="K1073" i="1"/>
  <c r="K1074" i="1"/>
  <c r="K1075" i="1"/>
  <c r="K1076" i="1"/>
  <c r="K1077" i="1"/>
  <c r="K1078" i="1"/>
  <c r="K1080" i="1"/>
  <c r="K1092" i="1"/>
  <c r="K1097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6" i="1"/>
  <c r="K1127" i="1"/>
  <c r="K1128" i="1"/>
  <c r="K1129" i="1"/>
  <c r="K1130" i="1"/>
  <c r="K1131" i="1"/>
  <c r="K1132" i="1"/>
  <c r="K1133" i="1"/>
  <c r="K1134" i="1"/>
  <c r="K1135" i="1"/>
  <c r="K1136" i="1"/>
  <c r="K1147" i="1"/>
  <c r="K1148" i="1"/>
  <c r="K1149" i="1"/>
  <c r="K1150" i="1"/>
  <c r="K1151" i="1"/>
  <c r="K1152" i="1"/>
  <c r="K1153" i="1"/>
  <c r="K1154" i="1"/>
  <c r="K1155" i="1"/>
  <c r="K1156" i="1"/>
  <c r="K1157" i="1"/>
  <c r="K1184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7" i="1"/>
  <c r="K1228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63" i="1"/>
  <c r="K1264" i="1"/>
  <c r="K1269" i="1"/>
  <c r="K1270" i="1"/>
  <c r="K1271" i="1"/>
  <c r="K1279" i="1"/>
  <c r="K1280" i="1"/>
  <c r="K1281" i="1"/>
  <c r="K1282" i="1"/>
  <c r="K1283" i="1"/>
  <c r="K1284" i="1"/>
  <c r="K1285" i="1"/>
  <c r="K1286" i="1"/>
  <c r="K1287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9" i="1"/>
  <c r="K1317" i="1"/>
  <c r="K1318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G1189" i="1"/>
  <c r="G1190" i="1"/>
  <c r="I1189" i="1"/>
  <c r="I1190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G1147" i="1"/>
  <c r="G1148" i="1"/>
  <c r="G1149" i="1"/>
  <c r="G1150" i="1"/>
  <c r="G1151" i="1"/>
  <c r="G1152" i="1"/>
  <c r="G1153" i="1"/>
  <c r="G1154" i="1"/>
  <c r="G1155" i="1"/>
  <c r="I1147" i="1"/>
  <c r="I1148" i="1"/>
  <c r="I1149" i="1"/>
  <c r="I1150" i="1"/>
  <c r="I1151" i="1"/>
  <c r="I1152" i="1"/>
  <c r="I1153" i="1"/>
  <c r="I1154" i="1"/>
  <c r="I115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2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09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</calcChain>
</file>

<file path=xl/sharedStrings.xml><?xml version="1.0" encoding="utf-8"?>
<sst xmlns="http://schemas.openxmlformats.org/spreadsheetml/2006/main" count="5036" uniqueCount="516">
  <si>
    <t>ID</t>
  </si>
  <si>
    <t>Hora de início</t>
  </si>
  <si>
    <t>Hora de conclusão</t>
  </si>
  <si>
    <t>Nome do avaliador </t>
  </si>
  <si>
    <t>Área avaliada</t>
  </si>
  <si>
    <t>Código do produto</t>
  </si>
  <si>
    <t>Tipo incidente </t>
  </si>
  <si>
    <t>RAFAEL </t>
  </si>
  <si>
    <t>Picking</t>
  </si>
  <si>
    <t>KETLYN </t>
  </si>
  <si>
    <t>Regulador 1</t>
  </si>
  <si>
    <t>CLEBER</t>
  </si>
  <si>
    <t>RACK01</t>
  </si>
  <si>
    <t>TAINÁ</t>
  </si>
  <si>
    <t>Picking Baixo Giro</t>
  </si>
  <si>
    <t>Picking Alto Giro</t>
  </si>
  <si>
    <t>NARCISO</t>
  </si>
  <si>
    <t>JHOSLLEY</t>
  </si>
  <si>
    <t>Marketplace</t>
  </si>
  <si>
    <t>LUCIANE</t>
  </si>
  <si>
    <t>Reg2RGB</t>
  </si>
  <si>
    <t>BRUNO</t>
  </si>
  <si>
    <t>CARLOS</t>
  </si>
  <si>
    <t>Reg4Lata</t>
  </si>
  <si>
    <t>GILBERTO</t>
  </si>
  <si>
    <t>RegPET</t>
  </si>
  <si>
    <t>RODRIGO</t>
  </si>
  <si>
    <t>MARCIO</t>
  </si>
  <si>
    <t>LAISA</t>
  </si>
  <si>
    <t>JOSÉ</t>
  </si>
  <si>
    <t>FÁBIO</t>
  </si>
  <si>
    <t>JOSÉ GILNEI</t>
  </si>
  <si>
    <t>Camera F</t>
  </si>
  <si>
    <t>Reg1RGBL</t>
  </si>
  <si>
    <t>h2o 500ml</t>
  </si>
  <si>
    <t>ROGÉRIO</t>
  </si>
  <si>
    <t>Proteção porta pallet</t>
  </si>
  <si>
    <t xml:space="preserve">Proteção porta pallet </t>
  </si>
  <si>
    <t>GABRIEL</t>
  </si>
  <si>
    <t>skol multipack com 12</t>
  </si>
  <si>
    <t>pepsi twist lata 350ml</t>
  </si>
  <si>
    <t xml:space="preserve">skol multipack com 12 </t>
  </si>
  <si>
    <t>skol multipack com 18</t>
  </si>
  <si>
    <t>beats sentes 473ml</t>
  </si>
  <si>
    <t>caracu 350ml</t>
  </si>
  <si>
    <t>sukita 350ml</t>
  </si>
  <si>
    <t>Original Lata 350ml</t>
  </si>
  <si>
    <t>Coluna1</t>
  </si>
  <si>
    <t>Cod</t>
  </si>
  <si>
    <t>Descrição</t>
  </si>
  <si>
    <t>51 ICE MACA VERDE GFA VD 275 ML FD 24</t>
  </si>
  <si>
    <t>ABSOLUT ORIGINAL GFA VIDRO 1L</t>
  </si>
  <si>
    <t>ACQUA PANNA S/G GARRAFA VD 505 ML CX 24</t>
  </si>
  <si>
    <t>AG MIN S GAS AMA PET 500ML C12 N SHAPE</t>
  </si>
  <si>
    <t>AGUA M F DA ILHA C/G PET 300 ML CX C/12</t>
  </si>
  <si>
    <t>AGUA M F DA ILHA C/G PET 500ML CXC12 PRE</t>
  </si>
  <si>
    <t>AGUA M F DA ILHA C/G PVC 2L CAIXA C/06</t>
  </si>
  <si>
    <t>AGUA M F DA ILHA C/G PVC 500ML CAIXA C/1</t>
  </si>
  <si>
    <t>AGUA M F DA ILHA S/G COPO 200ML CAIXA C/</t>
  </si>
  <si>
    <t>AGUA M F DA ILHA S/G GARRAF+O PET 5 LITROS CX C/04</t>
  </si>
  <si>
    <t>AGUA M F DA ILHA S/G PET 500ML CXC12 PRE</t>
  </si>
  <si>
    <t>AGUA M F DA ILHA S/G PVC 1,5L CAIXA C/06</t>
  </si>
  <si>
    <t>AGUA M F DA ILHA S/G PVC 500ML CAIXA C/1</t>
  </si>
  <si>
    <t>ANTARCTICA PILSEN 600ML</t>
  </si>
  <si>
    <t>ANTARCTICA PILSEN GFA VD 1L C/TTC</t>
  </si>
  <si>
    <t>ANTARCTICA PILSEN GFA VD 300ML CX C/23</t>
  </si>
  <si>
    <t>ANTARCTICA PILSEN LATA 350ML SH C/12 NPA</t>
  </si>
  <si>
    <t>ANTARCTICA PILSEN LT 350ML SH C/18 MULTP</t>
  </si>
  <si>
    <t>ANTARCTICA SUBZERO 600ML</t>
  </si>
  <si>
    <t>ANTARCTICA SUBZERO GFA VD 1L</t>
  </si>
  <si>
    <t>ANTARCTICA SUBZERO LT 269ML SH C/15 NPAL</t>
  </si>
  <si>
    <t>ANTARCTICA SUBZERO LT 350ML SH C/12 NPAL</t>
  </si>
  <si>
    <t>ANTARCTICA SUBZERO LT 473ML SH C/12 NPAL</t>
  </si>
  <si>
    <t>BALALAIKA VODKA GFA VD 1L CX C/6</t>
  </si>
  <si>
    <t>BALLANTINES 12 ANOS GFA VIDRO 1 L</t>
  </si>
  <si>
    <t>BALLANTINES FINEST 1L GFA VIDRO 1L</t>
  </si>
  <si>
    <t>BC OW300C23</t>
  </si>
  <si>
    <t>BEATS RED MIX LN 269ML SIX PACK SH C/2</t>
  </si>
  <si>
    <t>BEATS RED MIX LT 269ML SH C/8</t>
  </si>
  <si>
    <t>BEATS TROPICAL LN 269ML SIX-PACK SH C/4</t>
  </si>
  <si>
    <t>BEATS TROPICAL LT 269ML CX CARTAO C/8 NP</t>
  </si>
  <si>
    <t>BECKS N  600ML</t>
  </si>
  <si>
    <t>BECKS N LT SLEEK 350ML C 8 CX CART</t>
  </si>
  <si>
    <t>BECKS N ONE WAY 600ML CX 12</t>
  </si>
  <si>
    <t>BECKS NACIONAL LN 330ML SIX PACK SH C 4</t>
  </si>
  <si>
    <t>BEEFEATER LONDON DRY GFA VD 750ML</t>
  </si>
  <si>
    <t>BIS XTRA OREO ENVELOPE 45G CX C/24</t>
  </si>
  <si>
    <t>BOHEMIA GFA VD 300ML CX C/23</t>
  </si>
  <si>
    <t>BOHEMIA GFA VD 990ML</t>
  </si>
  <si>
    <t>BOHEMIA LT473ML PACK SHRINK C/12</t>
  </si>
  <si>
    <t>BOHEMIA NOVA EMBAL LT 350ML SH C/12 NPAL</t>
  </si>
  <si>
    <t>BRAHMA CHOPP 600ML</t>
  </si>
  <si>
    <t>BRAHMA CHOPP GFA VD 1L COM TTC</t>
  </si>
  <si>
    <t>BRAHMA CHOPP GFA VD 300ML CX C/23</t>
  </si>
  <si>
    <t>BRAHMA CHOPP LATA 350ML SH 18 MULTIPACK</t>
  </si>
  <si>
    <t>BRAHMA CHOPP LATA 350ML SH C/12 NPAL</t>
  </si>
  <si>
    <t>BRAHMA CHOPP LN355ML SIX PACK CAIXA C/4</t>
  </si>
  <si>
    <t>BRAHMA CHOPP LT 269ML SH C/15 NPAL</t>
  </si>
  <si>
    <t>BRAHMA CHOPP LT 473ML SH C/12 NPAL</t>
  </si>
  <si>
    <t>BRAHMA CHOPP ONE WAY 1L GFE C/12</t>
  </si>
  <si>
    <t>BRAHMA CHOPP ZERO GFA VD 300ML CX C/23</t>
  </si>
  <si>
    <t>BRAHMA CHOPP ZERO LATA 350 SH CX C12 NPA</t>
  </si>
  <si>
    <t>BRAHMA CHOPP ZERO LN 355 SIXP CX CART C4</t>
  </si>
  <si>
    <t>BRAHMA D MALTE ESCURA LT SLEK 350ML SH12</t>
  </si>
  <si>
    <t>BRAHMA DUPLO MALTE 600ML</t>
  </si>
  <si>
    <t>BRAHMA DUPLO MALTE GFA VD 1L</t>
  </si>
  <si>
    <t>BRAHMA DUPLO MALTE GFA VD 300ML CX C/23</t>
  </si>
  <si>
    <t>BRAHMA DUPLO MALTE LT 269ML SH C15 NPAL</t>
  </si>
  <si>
    <t>BRAHMA DUPLO MALTE LT SLEEK 350ML SH C12</t>
  </si>
  <si>
    <t>BRAHMA LEX CLARA LT SLEEK 350ML SH C12</t>
  </si>
  <si>
    <t>BRAHMA LEX LT SLEEK 350ML SH C 12</t>
  </si>
  <si>
    <t>BRUTAL FRUIT LONG NECK 275ML SP SH C2</t>
  </si>
  <si>
    <t>BUBBALOO BALA MIX DISPLAY 15G CX/12</t>
  </si>
  <si>
    <t>BUBBALOO BALA MORANGO DISPLAY 15G CX/12</t>
  </si>
  <si>
    <t>BUBBALOO BALA TUT FRUT DISPLAY 15G CX/12</t>
  </si>
  <si>
    <t>BUBBALOO MORANGO DISPLAY 5G CX/60</t>
  </si>
  <si>
    <t>BUBBALOO TUTTI FRUTTI DISPLAY 5G CX/60</t>
  </si>
  <si>
    <t>BUBBALOO UVA DISPLAY 5G CX/60</t>
  </si>
  <si>
    <t>BUDWEISER 600ML</t>
  </si>
  <si>
    <t xml:space="preserve">BUDWEISER GFA VD 300ML GFE C 23 RGB </t>
  </si>
  <si>
    <t>BUDWEISER GFA VD 990ML CX C/12</t>
  </si>
  <si>
    <t>BUDWEISER LATA 269ML CX C/8 FRIDGE PACK</t>
  </si>
  <si>
    <t>BUDWEISER LT 473ML SIX-PACK SH C/2 NPAL</t>
  </si>
  <si>
    <t>BUDWEISER LT SLEEK 350ML CX CART C12</t>
  </si>
  <si>
    <t>BUDWEISER OW 330ML CX C 24</t>
  </si>
  <si>
    <t>BUDWEISER ZERO LN 330ML SIX-PACK SH C/4</t>
  </si>
  <si>
    <t>BUDWEISER ZERO LT SLEEK 350ML C8 CX CART</t>
  </si>
  <si>
    <t>CACHACA 51 PIRAS OURO C VASIL GFVD 965ML</t>
  </si>
  <si>
    <t>CARACU LATA 350ML SH C/12 NPAL</t>
  </si>
  <si>
    <t>CERVEGELA PLASTICA BRAHMA 1 UN P/ GFA 1L CX C/3</t>
  </si>
  <si>
    <t>CERVEGELA PLASTICA BRAHMA 1 UN P/ GFA 600ML CX C/3</t>
  </si>
  <si>
    <t>CERVEGELA PLASTICA SKOL 1 UN P/ GFA 1L CX C/3</t>
  </si>
  <si>
    <t>CERVEGELA PLASTICA SKOL 1 UN P/ GFA 600ML CX C/3</t>
  </si>
  <si>
    <t>CHICLETE ADAMS HORTELA 2,8G CX C/100</t>
  </si>
  <si>
    <t>CHIVAS 18YO GFA VD 750 ML</t>
  </si>
  <si>
    <t>CHIVAS REGAL WHISKY 12 ANOS GFA VIDRO 1L</t>
  </si>
  <si>
    <t>CHOPP BRAHMA BLACK BARRIL KEG 30L</t>
  </si>
  <si>
    <t>CHOPP BRAHMA CLARO BARRIL KEG 30L</t>
  </si>
  <si>
    <t>CHOPP BRAHMA CLARO BARRIL KEG 50L</t>
  </si>
  <si>
    <t>CHOPP BRAHMA ESCURO BARRIL KEG 30L</t>
  </si>
  <si>
    <t>CHOPP CL STELLA ARTOIS BARRIL KEG 30L</t>
  </si>
  <si>
    <t>CHOPP COLORADO LAGER BARRIL KEG 30L NPAL</t>
  </si>
  <si>
    <t>CHOPP PATAGONIA AMBER LAGER KEG 30L</t>
  </si>
  <si>
    <t>CHOPP PATAGONIA BOHEMIAN PILSENE KEG 30L</t>
  </si>
  <si>
    <t>CHOPP PATAGONIA WEISSE BARRIL KEG 30L</t>
  </si>
  <si>
    <t>CHOPP SPATEN N KEG 30L NPAL</t>
  </si>
  <si>
    <t>COLORADO APPIA LT SLEEK 350ML C8 CX CART</t>
  </si>
  <si>
    <t>COLORADO APPIA OW 600ML CX C-12 ARTE</t>
  </si>
  <si>
    <t>COLORADO DEMOISELLE OW 600ML CX C-12 ART</t>
  </si>
  <si>
    <t>COLORADO INDICA LT SLEEK 350ML C8 CX CAR</t>
  </si>
  <si>
    <t>COLORADO INDICA OW 600ML CX C-12 ARTE</t>
  </si>
  <si>
    <t>COLORADO LAGER LN 355ML CX C/12</t>
  </si>
  <si>
    <t>COLORADO LAGER LT SLEEK 350ML C8 CX CART</t>
  </si>
  <si>
    <t>COLORADO LAGER ONE WAY 600ML CX C-12 ART</t>
  </si>
  <si>
    <t>COLORADO SESSION IPA OW 600ML CX C-12</t>
  </si>
  <si>
    <t>COLORADO VIXNU OW 600ML CX C-12 ARTE</t>
  </si>
  <si>
    <t>COR CERO SUNBREW LN 330ML SP BAS CX C4</t>
  </si>
  <si>
    <t>CORONA CERO SUN N LT SL 350ML C8 CX CART</t>
  </si>
  <si>
    <t>CORONA EXTRA N 600ML RGB</t>
  </si>
  <si>
    <t>CORONA EXTRA N LN 330ML SIX-PACK BASKET CX C 4</t>
  </si>
  <si>
    <t>CORONA EXTRA N LONG NECK 330ML RGB CX 28</t>
  </si>
  <si>
    <t>CORONA EXTRA N LT 473ML CX CARTAO C/12</t>
  </si>
  <si>
    <t>CORONA EXTRA N OW 600ML GARRAFEIRA C/24</t>
  </si>
  <si>
    <t>CORONA EXTRA NAC LN 330 CX C/24 NPAL</t>
  </si>
  <si>
    <t>CORONA N LT SLEEK 350ML CX 8</t>
  </si>
  <si>
    <t>CORONITA EXTRA N OW 210ML CX C/4 SIXPA</t>
  </si>
  <si>
    <t>COROTE CACHACA GARRAFA PET 500 ML CX C/12</t>
  </si>
  <si>
    <t>DANTE ROBINO BONARDA GFA VD 750ML CX C6</t>
  </si>
  <si>
    <t>DANTE ROBINO CABERNET SAUVIGNON GFA OW 750ML CX C 6</t>
  </si>
  <si>
    <t>DANTE ROBINO EXTRA BRUT GFA OW 750ML CX C-6</t>
  </si>
  <si>
    <t>DANTE ROBINO LEG BLEND D BL GF 750ML CX6</t>
  </si>
  <si>
    <t>DANTE ROBINO LEG BONARDA GFA 750ML CX C6</t>
  </si>
  <si>
    <t>DANTE ROBINO LEG CAB SAUV GFA 750ML CX 6</t>
  </si>
  <si>
    <t>DANTE ROBINO LEG MALBEC GFA 750 ML CX C6</t>
  </si>
  <si>
    <t>DANTE ROBINO MALBEC OW X6 750CC</t>
  </si>
  <si>
    <t>DANTE ROBINO WHITE BLEND GFA 750 ML CX 6</t>
  </si>
  <si>
    <t>DOMECQ COQUETEL COMPOSTO GFA VIDRO 1L</t>
  </si>
  <si>
    <t>EXTRA SERRAMALTE 600ML</t>
  </si>
  <si>
    <t>FLOPITO PIRULITO CORACAO VERM PCT P 500G</t>
  </si>
  <si>
    <t>FLORESTAL BALA BRAZIL COFFEE PCT PL 108G</t>
  </si>
  <si>
    <t>FLORESTAL BALA BRAZIL COFFEE PCT PL 500G</t>
  </si>
  <si>
    <t>FLORESTAL BALA GOMA SININHOS PCT PL 500G</t>
  </si>
  <si>
    <t>FLORESTAL BALA MENTA PCT PLAST 500G</t>
  </si>
  <si>
    <t>FLORESTAL BALINHA CORACAO MOR PCT P 108G</t>
  </si>
  <si>
    <t>FLORESTAL BALINHA CORACAO MORANG PC 500G</t>
  </si>
  <si>
    <t>FUSION  PET 2L SHRINK C6</t>
  </si>
  <si>
    <t>FUSION LT 473ML SH C/12 NPAL</t>
  </si>
  <si>
    <t>FUSION MELANCIA LT 473ML SH C/12 NPAL</t>
  </si>
  <si>
    <t>FUSION MELANCIA PET 2L SHRINK C/6</t>
  </si>
  <si>
    <t>FUSION PET 1L SHRINK C/6</t>
  </si>
  <si>
    <t>GARRAFEIRA PL. PRETO B. 1UN P24 GF 600ML</t>
  </si>
  <si>
    <t>GATORADE BERRY BLUE PET 500ML SIXPACK</t>
  </si>
  <si>
    <t>GATORADE FRUTAS CITR PET 500ML SIX PACK</t>
  </si>
  <si>
    <t>GATORADE LARANJA PET 500ML SIX PACK</t>
  </si>
  <si>
    <t>GATORADE LIMAO PET 500ML SIX PACK</t>
  </si>
  <si>
    <t>GATORADE MARACUJA PET 500ML SIX PACK</t>
  </si>
  <si>
    <t>GATORADE MELANC MORANGO PET 500ML SIXPAC</t>
  </si>
  <si>
    <t>GATORADE MORANGO MARACUJA PET500ML SIXPA</t>
  </si>
  <si>
    <t>GATORADE TANGERINA PET 500ML SIX PACK</t>
  </si>
  <si>
    <t>GATORADE UVA PET 500ML SIX PACK</t>
  </si>
  <si>
    <t>GATORADE ZERO CAL FRUT SIL PET350 SH C12</t>
  </si>
  <si>
    <t>GATORADE ZERO CAL LARANJA PET350 SH C12</t>
  </si>
  <si>
    <t>GFE PL. A. L. A. PR B. 1 UN P23 GF 300ML</t>
  </si>
  <si>
    <t>GOOSE ISLAND MIDWAY NAC LN 355ML CX C/12</t>
  </si>
  <si>
    <t>GORDONS GIN DRY GARRAFA VIDRO 750ML</t>
  </si>
  <si>
    <t>GRAN DANTE BONARDA OW X6 750CC</t>
  </si>
  <si>
    <t>GRAN DANTE MALBEC GFA OW 750ML CX C6</t>
  </si>
  <si>
    <t>GRAN DANTE NATURE GFA VD 750ML CX C3</t>
  </si>
  <si>
    <t>GUAR. CHP ANT PET 2,25L SH C6 250ML GRAT</t>
  </si>
  <si>
    <t>GUARANA ANT ZERO LATA 350ML SH C/12 MP</t>
  </si>
  <si>
    <t>GUARANA ANTARCTICA ZERO PET 200ML SH C12</t>
  </si>
  <si>
    <t>GUARANA CHP ANT DIET MIX BAG IN BOX 18L</t>
  </si>
  <si>
    <t>GUARANA CHP ANT LATA 350ML SH C/12 MP</t>
  </si>
  <si>
    <t>GUARANA CHP ANTAR LATA 350ML SH C18 MULT</t>
  </si>
  <si>
    <t>GUARANA CHP ANTAR MIX BAG IN BOX 18L</t>
  </si>
  <si>
    <t>GUARANA CHP ANTARCT DIET LT350ML SHC/12</t>
  </si>
  <si>
    <t>GUARANA CHP ANTARCT DIET PET1,5L SH C/6</t>
  </si>
  <si>
    <t>GUARANA CHP ANTARCT LT350ML SH C/12 NPAL</t>
  </si>
  <si>
    <t>GUARANA CHP ANTARCT PET 1L P C2 MUL NENO</t>
  </si>
  <si>
    <t>GUARANA CHP ANTARCTICA 290ML</t>
  </si>
  <si>
    <t>GUARANA CHP ANTARCTICA DIET PET 2L CXC/6</t>
  </si>
  <si>
    <t>GUARANA CHP ANTARCTICA GFA VD 1L</t>
  </si>
  <si>
    <t>GUARANA CHP ANTARCTICA PET 1,5L SH C/6</t>
  </si>
  <si>
    <t>GUARANA CHP ANTARCTICA PET 2,5L CX C/6</t>
  </si>
  <si>
    <t>GUARANA CHP ANTARCTICA PET 200ML SH C/12</t>
  </si>
  <si>
    <t>GUARANA CHP ANTARCTICA PET 2L CAIXA C/6</t>
  </si>
  <si>
    <t>GUARANA CHP ANTARCTICA PET 3L C4 SH LISO</t>
  </si>
  <si>
    <t>GUARANA CHP ANTARCTICA PET1L CX C/6 NRIO</t>
  </si>
  <si>
    <t>GUARANA CHP ANTARCTICA PET600ML CXC/12 N</t>
  </si>
  <si>
    <t>GUARANA CHP ANTART DIET PET600ML CX C/12</t>
  </si>
  <si>
    <t>H2OH CITRUS C/GAS PET1,5L SH C/06 NPAL</t>
  </si>
  <si>
    <t>H2OH CITRUS C/GAS PET500ML SH C/12 NPAL</t>
  </si>
  <si>
    <t>H2OH LIMAO C/GAS PET 1,5L CAIXA C/6</t>
  </si>
  <si>
    <t>H2OH LIMAO C/GAS PET 500ML CAIXA C/12</t>
  </si>
  <si>
    <t>H2OH LIMONETO PET 1,5 SH C/6 NPAL</t>
  </si>
  <si>
    <t>H2OH LIMONETO PET500 SH C/12 NP</t>
  </si>
  <si>
    <t>HALLS CEREJA 28G CX C/21</t>
  </si>
  <si>
    <t>HALLS EXTRA FORTE 28G CX C/21</t>
  </si>
  <si>
    <t>HALLS MELANCIA 28G CX C/21</t>
  </si>
  <si>
    <t>HALLS MENTA 28G CX C/21</t>
  </si>
  <si>
    <t>HALLS MENTOL 28G CX C 21</t>
  </si>
  <si>
    <t>HALLS MORANGO 28G CX C 21</t>
  </si>
  <si>
    <t>HALLS UVA VERDE ENVELOPE 28G CX C/21</t>
  </si>
  <si>
    <t>HEMMER KETCHUP TRAD SACHE 7G CX 190</t>
  </si>
  <si>
    <t>HEMMER KETCHUP TRADICIONAL SQUEEZE 1KG</t>
  </si>
  <si>
    <t>HEMMER MAIONESE TRAD SACHE 7G CX 190</t>
  </si>
  <si>
    <t>HOEGAARDEN W NAC LT 269ML CX CAR C8 NPAL</t>
  </si>
  <si>
    <t>ISABELA WAFER MORANGO PCT PLST 100G CX40</t>
  </si>
  <si>
    <t>JINFU BARRIL D CHOPP VAS 1UN BAR ACO 30L</t>
  </si>
  <si>
    <t>JOHNNIE WALKER BLACK LABEL GFA VD 750ML</t>
  </si>
  <si>
    <t>JOHNNIE WALKER BLACK LABEL GFA VIDRO 1L</t>
  </si>
  <si>
    <t>JOHNNIE WALKER RED LABEL GFA VD 750ML</t>
  </si>
  <si>
    <t>JOHNNIE WALKER RED LABEL GFA VIDRO 1L</t>
  </si>
  <si>
    <t>JOHNNIE WALKER WHISKY BLONDE GFA VD750ML</t>
  </si>
  <si>
    <t>LACTA BIS XTRA AO LEITE PCT 45G CX C 24</t>
  </si>
  <si>
    <t>LACTA OURO BRANCO 1 UN 20G PCT C 540G</t>
  </si>
  <si>
    <t>LACTA OURO BRANCO WAFER RECH PCT25G DP15</t>
  </si>
  <si>
    <t>LACTA SONHO DE VALSA 1 UN 20G PCT C 540G</t>
  </si>
  <si>
    <t>LACTA SONHO VALSA STICK WAFR PCT25G DP15</t>
  </si>
  <si>
    <t>LACTA XTRA BLACK 45G CX C 24</t>
  </si>
  <si>
    <t>LARIOS 12 GFA VD 700ML</t>
  </si>
  <si>
    <t>LIPTON LIMAO PET 1,5 SHRINK C/6 HF</t>
  </si>
  <si>
    <t>LIPTON LIMﾃO PET 500ML SHRINK C/12</t>
  </si>
  <si>
    <t>LIPTON PESSEGO PET 1,5 SHRINK C/6 HF</t>
  </si>
  <si>
    <t>LIPTON PﾊSSEGO PET 500ML SHRINK C/12</t>
  </si>
  <si>
    <t>MALZBIER BRAHMA LATA 350ML SH C/12 NPAL</t>
  </si>
  <si>
    <t>MALZBIER BRAHMA LN355ML SIX PAC BAND C/4</t>
  </si>
  <si>
    <t>MICHELOB ULTRA N LN 330ML SP SH C/4</t>
  </si>
  <si>
    <t>MICHELOB ULTRA N LT SLEEK 350ML C8 CX CA</t>
  </si>
  <si>
    <t>MIKES HARD LEM PITAIA N LT269ML SH12</t>
  </si>
  <si>
    <t>MIKES HARD LEMONADE N LT 269ML SH C/12</t>
  </si>
  <si>
    <t>MIKES HL N LN 275ML SIX PACK SH C/4</t>
  </si>
  <si>
    <t>MIKES HL N PITAIA LN 275ML SIX P SH C/4</t>
  </si>
  <si>
    <t>MINALBA AGUA M C GAS LATA 310ML FD12</t>
  </si>
  <si>
    <t>MINALBA AGUA M S GAS LATA 310ML FD12</t>
  </si>
  <si>
    <t>MINI OREO 35G CX C/10</t>
  </si>
  <si>
    <t>MONTILLA CARTA BRANCA GFA VIDRO 1L</t>
  </si>
  <si>
    <t>MONTILLA CARTA OURO GFA VIDRO 1L</t>
  </si>
  <si>
    <t>NATU NOBILIS APERITIVO GARRAFA VIDRO 1 L</t>
  </si>
  <si>
    <t>NINHO INTEGRAL VITAMINA CX 1L CX C/12</t>
  </si>
  <si>
    <t>NOVECENTO BLEND DE BLANC GFA 750ML CX C6</t>
  </si>
  <si>
    <t>NOVECENTO EXTRA BRUT OW X6 750CC</t>
  </si>
  <si>
    <t>NOVECENTO EXTRA DULCE OW X6 750CC</t>
  </si>
  <si>
    <t>NOVECENTO MALBEC OW X6 750CC</t>
  </si>
  <si>
    <t>NTO CABERNET OW X6 750CC</t>
  </si>
  <si>
    <t>OLD PARR WHISKY GFA VD 1L</t>
  </si>
  <si>
    <t>OREO ORIGINAL BISCOITO RECHE PCT 36G CX8</t>
  </si>
  <si>
    <t>ORIGINAL 600ML</t>
  </si>
  <si>
    <t>ORIGINAL GFA VD 1L</t>
  </si>
  <si>
    <t>ORIGINAL GFA VD 300ML CX C/23</t>
  </si>
  <si>
    <t>ORIGINAL LATA 350ML CX CARTAO C/12 NPAL</t>
  </si>
  <si>
    <t>ORIGINAL LT 269ML CX CARTAO C/8 NPAL</t>
  </si>
  <si>
    <t>ORIGINAL LT 350ML SH C/12 NP MULTIPACK</t>
  </si>
  <si>
    <t>ORIGINAL LT 473ML CX CARTAO C/12</t>
  </si>
  <si>
    <t>ORIGINAL ONE WAY 300ML CX PAPELAO C/12</t>
  </si>
  <si>
    <t>ORIGINAL ONE WAY 600ML CX 12</t>
  </si>
  <si>
    <t>ORLOFF DRY GFA VD 1 L</t>
  </si>
  <si>
    <t>ORLOFF GFA VIDRO 1L</t>
  </si>
  <si>
    <t>PASSPORT SCOTCH BLENDED GFA VIDRO 1 L</t>
  </si>
  <si>
    <t>PATAGONIA AMB LAG NAC  OW 740ML CX C6</t>
  </si>
  <si>
    <t>PATAGONIA AMB LAG NAC 600ML</t>
  </si>
  <si>
    <t>PATAGONIA AMB LAG NAC LATA 473ML 6PACK</t>
  </si>
  <si>
    <t>PATAGONIA AMBER LAGER LN355ML CX12</t>
  </si>
  <si>
    <t>PATAGONIA BOH PIL NAC LATA 473ML 6 PACK</t>
  </si>
  <si>
    <t>PATAGONIA BOH PILS NAC OW 740ML CX 6</t>
  </si>
  <si>
    <t>PATAGONIA BOHEMIAN PILSENER LN355ML CX12</t>
  </si>
  <si>
    <t>PATAGONIA IPA 600ML</t>
  </si>
  <si>
    <t>PATAGONIA IPA BARRIL KEG 30L NPAL</t>
  </si>
  <si>
    <t>PATAGONIA IPA LATA 473ML 6PACK CARTAO</t>
  </si>
  <si>
    <t>PATAGONIA IPA LN 355ML CX C/12</t>
  </si>
  <si>
    <t>PATAGONIA IPA ONE WAY 740ML CX6</t>
  </si>
  <si>
    <t>PATAGONIA WEISSE LN355ML CX12</t>
  </si>
  <si>
    <t>PATAGONIA WEISSE NAC LATA 473ML 6 PACK</t>
  </si>
  <si>
    <t>PATAGONIA WEISSE NACIONAL OW 740ML CX 6</t>
  </si>
  <si>
    <t>PEPSI BLACK 1,5L SH C/6</t>
  </si>
  <si>
    <t>PEPSI BLACK PET 200ML SH C/12</t>
  </si>
  <si>
    <t>PEPSI BLACK PET 600ML SH C 12 NPAL</t>
  </si>
  <si>
    <t>PEPSI COLA GFA VD 1L</t>
  </si>
  <si>
    <t>PEPSI COLA LATA 350ML SH C/12 NPAL</t>
  </si>
  <si>
    <t>PEPSI COLA MIX BAG IN BOX 18L</t>
  </si>
  <si>
    <t>PEPSI COLA PET  200ML SH C/12</t>
  </si>
  <si>
    <t>PEPSI COLA PET 1,5L  CX C/06</t>
  </si>
  <si>
    <t>PEPSI COLA PET 1L CAIXA C/6</t>
  </si>
  <si>
    <t>PEPSI COLA PET 2,25L CAIXA C/6</t>
  </si>
  <si>
    <t>PEPSI COLA PET 2,5L CAIXA C/6</t>
  </si>
  <si>
    <t>PEPSI COLA PET 2L CAIXA C/6</t>
  </si>
  <si>
    <t>PEPSI COLA PET 3000 ML C/04 SH LISO.</t>
  </si>
  <si>
    <t>PEPSI COLA PET 600ML CX C/12 NPAL</t>
  </si>
  <si>
    <t>PEPSI TWIST 3 LATA 350ML SH C/12 NPAL</t>
  </si>
  <si>
    <t>PEPSI TWIST LATA 350ML SH C/12 NPAL</t>
  </si>
  <si>
    <t>PEPSI TWIST MIX BAG IN BOX  18L</t>
  </si>
  <si>
    <t>PEPSI TWIST PET 200ML SH C/12</t>
  </si>
  <si>
    <t>PEPSI TWIST PET 2L SHRINK C/6</t>
  </si>
  <si>
    <t>PEPSI ZERO LATA 350ML SH C/12 NPAL</t>
  </si>
  <si>
    <t>PEPSI ZERO MIX BAG IN BOX 18L</t>
  </si>
  <si>
    <t>PEPSI ZERO PET 2L CX C/6</t>
  </si>
  <si>
    <t>PIRACANJUBA CREME DE LEITE TETRAPAK 200G CX C/27</t>
  </si>
  <si>
    <t>PIRACANJUBA LEITE CONDENSADO TETRAPAK 395G CX C/27</t>
  </si>
  <si>
    <t>PIRACANJUBA SEM DES CX 1L CX12</t>
  </si>
  <si>
    <t>PIRACANJUBA UHT INTEGRAL CX 1L CX C/12</t>
  </si>
  <si>
    <t>PIRACANJUBA WHEY CHOCOLATE TPAK 250MLC12</t>
  </si>
  <si>
    <t>PIRACANJUBA WHEY MORANGO TPAK 250MLC12</t>
  </si>
  <si>
    <t>PIRAKIDS BEB. LACTEA CHOC. TP 200ML CX27</t>
  </si>
  <si>
    <t>PIRASSUNUNGA 51 GFA VIDRO 965ML</t>
  </si>
  <si>
    <t>POP KISS PIRULITO CEREJA PCT PLAST 500G</t>
  </si>
  <si>
    <t>PRESIDENTE GFA VIDRO 900ML</t>
  </si>
  <si>
    <t>PUREZA VITAL AGUA MIN. C GAS GFA PET 510ML FD C/12</t>
  </si>
  <si>
    <t>PUREZA VITAL AGUA MIN. S GAS GFA PET 1,5L FD C/6</t>
  </si>
  <si>
    <t>PUREZA VITAL AGUA MIN. S GAS GFA PET 510ML FD C/12</t>
  </si>
  <si>
    <t>QUERO MILHO VERDE LATA 170G</t>
  </si>
  <si>
    <t>RED BULL AMORA LT 250ML FOUR PACK</t>
  </si>
  <si>
    <t>RED BULL BR LATA 250ML CAIXA C/24</t>
  </si>
  <si>
    <t>RED BULL BR LATA 250ML SIX PACK NPAL</t>
  </si>
  <si>
    <t>RED BULL BR LATA 355ML FOUR PACK</t>
  </si>
  <si>
    <t>RED BULL BR LATA 473ML CX C 12</t>
  </si>
  <si>
    <t>RED BULL MELANCIA LT 250ML FOUR PACK NPA</t>
  </si>
  <si>
    <t>RED BULL PITAYA LT 250ML FOUR PACK NPAL</t>
  </si>
  <si>
    <t>RED BULL S MOR E PESSEGO LT 250ML FOUR P</t>
  </si>
  <si>
    <t>RED BULL SF POMELO LATA 250ML FOUR PACK</t>
  </si>
  <si>
    <t>RED BULL SUGAR FREE BR LT 355ML FOURPACK</t>
  </si>
  <si>
    <t>RED BULL SUGAR FREE LATA 250ML FOUR PACK</t>
  </si>
  <si>
    <t>RED BULL SUM MAR E MELAO LT 250ML CX C24</t>
  </si>
  <si>
    <t>RED BULL SUM MARAC E MELAO LT 250ML FP</t>
  </si>
  <si>
    <t>RED BULL TROP BR LT 250ML FOUR PACK NPAL</t>
  </si>
  <si>
    <t>RED BULL TROPICAL BR LATA 473ML CX C 12</t>
  </si>
  <si>
    <t>RENO VINHO TINTO GFA VD 750ML</t>
  </si>
  <si>
    <t>ROCKS DRY GIN GARRAFA VIDRO 1 L</t>
  </si>
  <si>
    <t>SALTON CHAL. VINHO BRANCO SECO GFA VD 750 ML</t>
  </si>
  <si>
    <t>SAN PELLEGRINO COM GAS GARRAFA VD 505 ML CX 24</t>
  </si>
  <si>
    <t>SAO FRANCISCO CACHACA GARRAFA VD 970ML</t>
  </si>
  <si>
    <t>SEAGERS GFA VIDRO 1L</t>
  </si>
  <si>
    <t>SERRAMALTE LATA 350ML SIX PACK SH C/2 NP</t>
  </si>
  <si>
    <t>SKOL 600ML</t>
  </si>
  <si>
    <t>SKOL BEATS CAIPIRINHA LN 269ML SXP SH C4</t>
  </si>
  <si>
    <t>SKOL BEATS GT LN 269ML SIX-PACK SH C/2</t>
  </si>
  <si>
    <t>SKOL BEATS GT LN 269ML SIX-PACK SH C/4</t>
  </si>
  <si>
    <t>SKOL BEATS GT LT 269ML CX CAR C/8</t>
  </si>
  <si>
    <t>SKOL BEATS SENSES LATA 269ML CX C/8 FRID</t>
  </si>
  <si>
    <t>SKOL BEATS SENSES LN 269ML CX C/6</t>
  </si>
  <si>
    <t>SKOL BEATS SENSES LN 269ML SXP SH C/2</t>
  </si>
  <si>
    <t>SKOL BEATS SENSES LT 473ML SP SH C/2 NPA</t>
  </si>
  <si>
    <t>SKOL BT CAIPIRINHA LT 269ML CX CA C/8 NP</t>
  </si>
  <si>
    <t>SKOL GFA VD 1L 2,99</t>
  </si>
  <si>
    <t>SKOL GFA VD 300ML CX 23</t>
  </si>
  <si>
    <t>SKOL LATA 350ML SH C/12 MULTIPAK</t>
  </si>
  <si>
    <t>SKOL LATA 350ML SH C/12 NPAL</t>
  </si>
  <si>
    <t>SKOL LATA 350ML SH C/18 NPAL MULTPACK</t>
  </si>
  <si>
    <t>SKOL LT 269ML SH C/15 NPAL</t>
  </si>
  <si>
    <t>SKOL LT 473ML SH C/12 NPAL</t>
  </si>
  <si>
    <t>SKOL ONE WAY 300ML CX PAPELAO C/12</t>
  </si>
  <si>
    <t>SMIRNOFF ICE GFA VD 275ML CX C/24</t>
  </si>
  <si>
    <t>SMIRNOFF ICE LT 269 ML CX C/24</t>
  </si>
  <si>
    <t>SMIRNOFF ORIGINAL GFA VIDRO 998ML</t>
  </si>
  <si>
    <t>SMIRNOFF VODKA N21 GFA PET 1,75L</t>
  </si>
  <si>
    <t>SODA LIMONADA ANT PET 200ML SH C/12</t>
  </si>
  <si>
    <t>SODA LIMONADA ANTAR LT350ML SH C/12 NPAL</t>
  </si>
  <si>
    <t>SODA LIMONADA ANTAR MIX BAG IN BOX 18L</t>
  </si>
  <si>
    <t>SODA LIMONADA ANTARCT DIET LT350MLSHC/12</t>
  </si>
  <si>
    <t>SODA LIMONADA ANTARCT DIET PET 2L CX C/6</t>
  </si>
  <si>
    <t>SODA LIMONADA ANTARCTICA PET 2L CX C/6</t>
  </si>
  <si>
    <t>SODA LIMONADA ANTARCTICA PET600ML CXC/12</t>
  </si>
  <si>
    <t>SPATEN LT 269ML CX CARTAO C/8 NPAL</t>
  </si>
  <si>
    <t>SPATEN LT 473ML CX CARTAO C/12</t>
  </si>
  <si>
    <t>SPATEN N 600ML</t>
  </si>
  <si>
    <t>SPATEN N LN 355ML SIXPACK SH C/4</t>
  </si>
  <si>
    <t>SPATEN N LONG NECK 330ML SIX-PACK SH C4</t>
  </si>
  <si>
    <t>SPATEN N LT SLEEK 350ML CX CART C12</t>
  </si>
  <si>
    <t>SPATEN N ONE WAY 600ML CX C/12 NP ARTE</t>
  </si>
  <si>
    <t>STA. RITA 120 RES. ESP. CAB. SAUV. GFA VD 750ML</t>
  </si>
  <si>
    <t>STA. RITA 120 RES. ESP. CAMERNERE GFA VD 750ML</t>
  </si>
  <si>
    <t>STA. RITA 120 RES. ESP. SAUV. BLANC GFA VD 750ML</t>
  </si>
  <si>
    <t>STA. RITA TRES MEDALLAS CAB. SAUV. GFA VD 750ML</t>
  </si>
  <si>
    <t>STA. RITA TRES MEDALLAS CAMERNERE GFA VD 750ML</t>
  </si>
  <si>
    <t>STELLA ART PUR GOLD LT 473ML CX CART C12</t>
  </si>
  <si>
    <t>STELLA ART PUR GOLD LT SL 350ML C8 CX CT</t>
  </si>
  <si>
    <t>STELLA ARTOIS  600ML</t>
  </si>
  <si>
    <t>STELLA ARTOIS 550 ML</t>
  </si>
  <si>
    <t>STELLA ARTOIS LN 330ML 6PACK SHR C 4</t>
  </si>
  <si>
    <t>STELLA ARTOIS LT 473ML CX CARTAO C/12</t>
  </si>
  <si>
    <t>STELLA ARTOIS LT SLEEK 350ML C 8 CX CART</t>
  </si>
  <si>
    <t>STELLA ARTOIS LT269ML CX C/8 FRIDGE PACK</t>
  </si>
  <si>
    <t>STELLA ARTOIS ONE WAY 600ML CX 12</t>
  </si>
  <si>
    <t>STELLA ARTOIS PURE GOLD LN 330 SXP SH C4</t>
  </si>
  <si>
    <t>SUKITA LATA 350ML SH C/12 NPAL</t>
  </si>
  <si>
    <t>SUKITA LIMAO PET 2L CAIXA C/6</t>
  </si>
  <si>
    <t>SUKITA MIX BAG IN BOX 18L</t>
  </si>
  <si>
    <t>SUKITA PET 1L CAIXA C/6</t>
  </si>
  <si>
    <t>SUKITA PET 200ML SH C/12</t>
  </si>
  <si>
    <t>SUKITA PET 2L CAIXA C/6</t>
  </si>
  <si>
    <t>SUKITA PET 600ML CX C/12 NPAL</t>
  </si>
  <si>
    <t>SUKITA TUBAINA PET 2L SHRINK C/6</t>
  </si>
  <si>
    <t>SUKITA UVA LATA 350ML SH C/12 NPAL</t>
  </si>
  <si>
    <t>SUKITA UVA PET 2L CAIXA C/6</t>
  </si>
  <si>
    <t>TANG REFRESCO EM PO UVA PCT 18G DP C/18</t>
  </si>
  <si>
    <t>TANG REFRESCO PO ABACAXI PCT 18G DP C18</t>
  </si>
  <si>
    <t>TANG REFRESCO PO LARANJA PCT 18G DP C18</t>
  </si>
  <si>
    <t>TANG REFRESCO PO LIMAO PCT 18G DP C18</t>
  </si>
  <si>
    <t>TANG REFRESCO PO MARACUJA PCT 18G DP C18</t>
  </si>
  <si>
    <t>TANG REFRESCO PO MORANGO PCT 18G DP C18</t>
  </si>
  <si>
    <t>TANQUERAY LONDON DRY GFA VD 750ML</t>
  </si>
  <si>
    <t>TONICA ANTARCTICA 290ML</t>
  </si>
  <si>
    <t>TONICA ANTARCTICA DIET LT350MLSHC/12 PAL</t>
  </si>
  <si>
    <t>TONICA ANTARCTICA LT 350ML SH C/12 NPAL</t>
  </si>
  <si>
    <t>TONICA ANTARCTICA PET1LSH C/06</t>
  </si>
  <si>
    <t>TONICA ANTARCTICA ZERO PET 1L SH C/06</t>
  </si>
  <si>
    <t>TRIDENT CANELA ENVELOPE 8G CX C/21</t>
  </si>
  <si>
    <t>TRIDENT HORTELA 8G CX C/21</t>
  </si>
  <si>
    <t>TRIDENT MELANCIA 8G CX C/21</t>
  </si>
  <si>
    <t>TRIDENT MENTA 8G CX C/21</t>
  </si>
  <si>
    <t>TRIDENT MORANGO ENVELOPE 8G CX C21</t>
  </si>
  <si>
    <t>TRIDENT TUTTI-FRUTTI 8G CX C/21</t>
  </si>
  <si>
    <t>TRIDENT XFRESH 5S PRETO CEREJA ENVELOPE 8G CX C/21</t>
  </si>
  <si>
    <t>TRIDENT XFRESH HERBAL ENVELOPE 8G CX C21</t>
  </si>
  <si>
    <t>TRIDENT XFRESH INTENSE 8G CX C/ 21</t>
  </si>
  <si>
    <t>VELHO BARREIRO GFA VIDRO 910ML</t>
  </si>
  <si>
    <t>WHITE HORSE GFA VIDRO 1L</t>
  </si>
  <si>
    <t>XEQUE MATE BEB M M RUM G LIMAOLT355MLC12</t>
  </si>
  <si>
    <t>YPE DESINFETANTE PINHO TRADICAO FRASCO PLAST 500ML CX/12</t>
  </si>
  <si>
    <t>YPE ESPON SINT MULT PCT PL 8G PACK C/10</t>
  </si>
  <si>
    <t>YPE LAVA LOUCA L CLEAR FRASC PL 500ML C6</t>
  </si>
  <si>
    <t>YPE LAVA LOUCA L NEUTRO FRASC PL 500MLC6</t>
  </si>
  <si>
    <t>YPE LIMPADOR MULT CLASSICO FRASC500MLC12</t>
  </si>
  <si>
    <t>YPE TIXAN LAVA ROUPAS PRIMAVEA CAIXA800G</t>
  </si>
  <si>
    <t>YPIOCA CONTA GOTAS GOLD GFA VD 965ML</t>
  </si>
  <si>
    <t>YVY GIN SECO CLASSICO MAR GFAVD 750ML</t>
  </si>
  <si>
    <t>YVY GIN SECO CLASSICO MAR LATA 710ML</t>
  </si>
  <si>
    <t>YVY GIN SECO CONTEMPORANEO AR GFAVD750ML</t>
  </si>
  <si>
    <t>YVY GIN SECO CONTEMPORANEO AR LATA 710ML</t>
  </si>
  <si>
    <t>YVY GIN SECO NATIVO TERRA GFAVD 750ML</t>
  </si>
  <si>
    <t>YVY GIN SECO NATIVO TERRA LATA 710ML</t>
  </si>
  <si>
    <t>YVY VODKA GFAVD 750ML</t>
  </si>
  <si>
    <t>YVY VODKA LATA 710 ML</t>
  </si>
  <si>
    <t>ﾁGUA MINERAL S/ GﾁS AMA PET 1,5L CX 6 NP</t>
  </si>
  <si>
    <t>Microfuro </t>
  </si>
  <si>
    <t>Filme rasgado </t>
  </si>
  <si>
    <t>Produto avariado-embal.primária</t>
  </si>
  <si>
    <t>Palete quebrado</t>
  </si>
  <si>
    <t>Lote e conformidade </t>
  </si>
  <si>
    <t>Rotulo avariado</t>
  </si>
  <si>
    <t>Limpeza do lote</t>
  </si>
  <si>
    <t>Sem chapatex em cima</t>
  </si>
  <si>
    <t>Limpeza não conforme </t>
  </si>
  <si>
    <t>Produto avariado/embal.segundária</t>
  </si>
  <si>
    <t>Organização não conforme </t>
  </si>
  <si>
    <t>Revisão Geral</t>
  </si>
  <si>
    <t>Garrafeira quebrada </t>
  </si>
  <si>
    <t>Erro curva ABC</t>
  </si>
  <si>
    <t>Lote desalinhado</t>
  </si>
  <si>
    <t>Erro de FEFO</t>
  </si>
  <si>
    <t>Pilha com inclinação </t>
  </si>
  <si>
    <t>Mistura de PET e LATA</t>
  </si>
  <si>
    <t>Fora do padrão de empilhamento</t>
  </si>
  <si>
    <t>Revisão Geral,Limpeza do lote</t>
  </si>
  <si>
    <t>Filme rasgado ,NRI (incorreta / ausente)</t>
  </si>
  <si>
    <t>ANO/MÊS</t>
  </si>
  <si>
    <t>Area Azul</t>
  </si>
  <si>
    <t>Área Azul</t>
  </si>
  <si>
    <t>Área Verde</t>
  </si>
  <si>
    <t>Microfuro</t>
  </si>
  <si>
    <t>Avaria</t>
  </si>
  <si>
    <t>Stretch rasgado</t>
  </si>
  <si>
    <t>Problemas de embalagem</t>
  </si>
  <si>
    <t>Endereço</t>
  </si>
  <si>
    <t>Área</t>
  </si>
  <si>
    <t>Área Vermelho</t>
  </si>
  <si>
    <t>ENDEREÇO CORRIGIDO</t>
  </si>
  <si>
    <t>Empurrada</t>
  </si>
  <si>
    <t>EDURADO</t>
  </si>
  <si>
    <t>Fora do prazo de comercialização (30 dias vencimento)</t>
  </si>
  <si>
    <t>Produto faltando</t>
  </si>
  <si>
    <t>B</t>
  </si>
  <si>
    <t>A</t>
  </si>
  <si>
    <t>C</t>
  </si>
  <si>
    <t>TURNO</t>
  </si>
  <si>
    <t>RAFAEL</t>
  </si>
  <si>
    <t xml:space="preserve">JHOSLLEY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</si>
</sst>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quotePrefix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3" borderId="0" xfId="0" applyFont="1" applyFill="1" applyAlignment="1">
      <alignment horizontal="center"/>
    </xf>
    <xf numFmtId="0" fontId="0" fillId="3" borderId="0" xfId="0" applyFill="1"/>
    <xf numFmtId="0" fontId="0" fillId="4" borderId="3" xfId="0" applyFill="1" applyBorder="1"/>
    <xf numFmtId="0" fontId="0" fillId="4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318" totalsRowShown="0">
  <autoFilter ref="A1:K1318" xr:uid="{00000000-000C-0000-FFFF-FFFF00000000}"/>
  <tableColumns count="11">
    <tableColumn id="1" xr3:uid="{00000000-0010-0000-0000-000001000000}" name="ID" dataDxfId="14"/>
    <tableColumn id="2" xr3:uid="{00000000-0010-0000-0000-000002000000}" name="Hora de início" dataDxfId="13"/>
    <tableColumn id="3" xr3:uid="{00000000-0010-0000-0000-000003000000}" name="Hora de conclusão" dataDxfId="12"/>
    <tableColumn id="9" xr3:uid="{00000000-0010-0000-0000-000009000000}" name="Nome do avaliador " dataDxfId="11"/>
    <tableColumn id="15" xr3:uid="{00000000-0010-0000-0000-00000F000000}" name="Área avaliada" dataDxfId="10"/>
    <tableColumn id="24" xr3:uid="{00000000-0010-0000-0000-000018000000}" name="Código do produto" dataDxfId="9"/>
    <tableColumn id="6" xr3:uid="{4D8D8453-8EB6-472A-ACEA-EB928F5D32EC}" name="Coluna1" dataDxfId="8">
      <calculatedColumnFormula>VLOOKUP(F2,Produtos!A:B,2,FALSE)</calculatedColumnFormula>
    </tableColumn>
    <tableColumn id="48" xr3:uid="{00000000-0010-0000-0000-000030000000}" name="Tipo incidente " dataDxfId="7"/>
    <tableColumn id="4" xr3:uid="{64AC147D-9CC3-4DF0-9502-3B90BC04325A}" name="ANO/MÊS" dataDxfId="6">
      <calculatedColumnFormula>YEAR(Table1[[#This Row],[Hora de início]])&amp;"/"&amp;IF(MONTH(Table1[[#This Row],[Hora de início]])&lt;10,"0"&amp;MONTH(Table1[[#This Row],[Hora de início]]),MONTH(Table1[[#This Row],[Hora de início]]))</calculatedColumnFormula>
    </tableColumn>
    <tableColumn id="5" xr3:uid="{8DBF294F-F606-4670-B423-E1ED3CB5C5D0}" name="ENDEREÇO CORRIGIDO" dataDxfId="5">
      <calculatedColumnFormula>VLOOKUP(Table1[[#This Row],[Área avaliada]],Endereços!A:B,2,0)</calculatedColumnFormula>
    </tableColumn>
    <tableColumn id="7" xr3:uid="{A46C5EC7-985C-4A00-8B10-D0BB5121AA81}" name="TURNO" dataDxfId="4">
      <calculatedColumnFormula>VLOOKUP(Table1[[#This Row],[Nome do avaliador ]],M:N,2,0)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D95534-1AC2-4FAC-BF9D-19F4E033EC79}" name="Tabela2" displayName="Tabela2" ref="A1:B12" totalsRowShown="0" headerRowDxfId="3" dataDxfId="2">
  <autoFilter ref="A1:B12" xr:uid="{48D95534-1AC2-4FAC-BF9D-19F4E033EC79}"/>
  <tableColumns count="2">
    <tableColumn id="1" xr3:uid="{FDA053FD-D7B9-4251-98B6-500C3732B068}" name="Endereço" dataDxfId="1"/>
    <tableColumn id="2" xr3:uid="{BECC45BB-C23B-4636-A4AA-C836752ADCEA}" name="Áre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18"/>
  <sheetViews>
    <sheetView tabSelected="1" topLeftCell="G1" zoomScale="115" zoomScaleNormal="115" workbookViewId="0">
      <selection activeCell="L1310" sqref="L1310"/>
    </sheetView>
  </sheetViews>
  <sheetFormatPr defaultRowHeight="14.4" x14ac:dyDescent="0.3"/>
  <cols>
    <col min="1" max="6" width="20" bestFit="1" customWidth="1"/>
    <col min="7" max="7" width="49.33203125" bestFit="1" customWidth="1"/>
    <col min="8" max="8" width="48.6640625" customWidth="1"/>
    <col min="9" max="9" width="14.33203125" customWidth="1"/>
    <col min="10" max="10" width="25.33203125" style="9" customWidth="1"/>
    <col min="11" max="23" width="2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47</v>
      </c>
      <c r="H1" t="s">
        <v>6</v>
      </c>
      <c r="I1" t="s">
        <v>494</v>
      </c>
      <c r="J1" s="8" t="s">
        <v>505</v>
      </c>
      <c r="K1" s="12" t="s">
        <v>513</v>
      </c>
    </row>
    <row r="2" spans="1:14" x14ac:dyDescent="0.3">
      <c r="A2">
        <v>1</v>
      </c>
      <c r="B2" s="1">
        <v>45722.405601851897</v>
      </c>
      <c r="C2" s="1">
        <v>45722.407187500001</v>
      </c>
      <c r="D2" t="s">
        <v>7</v>
      </c>
      <c r="E2" t="s">
        <v>8</v>
      </c>
      <c r="G2" t="e">
        <f>VLOOKUP(F2,Produtos!A:B,2,FALSE)</f>
        <v>#N/A</v>
      </c>
      <c r="H2" t="s">
        <v>473</v>
      </c>
      <c r="I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" s="9" t="str">
        <f>VLOOKUP(Table1[[#This Row],[Área avaliada]],Endereços!A:B,2,0)</f>
        <v>Picking Alto Giro</v>
      </c>
      <c r="K2" t="str">
        <f>VLOOKUP(Table1[[#This Row],[Nome do avaliador ]],M:N,2,0)</f>
        <v>A</v>
      </c>
    </row>
    <row r="3" spans="1:14" x14ac:dyDescent="0.3">
      <c r="A3">
        <v>2</v>
      </c>
      <c r="B3" s="1">
        <v>45723.428356481498</v>
      </c>
      <c r="C3" s="1">
        <v>45723.4290162037</v>
      </c>
      <c r="D3" t="s">
        <v>9</v>
      </c>
      <c r="E3" t="s">
        <v>10</v>
      </c>
      <c r="G3" t="e">
        <f>VLOOKUP(F3,Produtos!A:B,2,FALSE)</f>
        <v>#N/A</v>
      </c>
      <c r="H3" t="s">
        <v>473</v>
      </c>
      <c r="I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3" s="9" t="str">
        <f>VLOOKUP(Table1[[#This Row],[Área avaliada]],Endereços!A:B,2,0)</f>
        <v>Área Verde</v>
      </c>
      <c r="K3" t="str">
        <f>VLOOKUP(Table1[[#This Row],[Nome do avaliador ]],M:N,2,0)</f>
        <v>A</v>
      </c>
    </row>
    <row r="4" spans="1:14" x14ac:dyDescent="0.3">
      <c r="A4">
        <v>3</v>
      </c>
      <c r="B4" s="1">
        <v>45723.445775462998</v>
      </c>
      <c r="C4" s="1">
        <v>45723.446608796301</v>
      </c>
      <c r="D4" t="s">
        <v>9</v>
      </c>
      <c r="E4" t="s">
        <v>10</v>
      </c>
      <c r="G4" t="e">
        <f>VLOOKUP(F4,Produtos!A:B,2,FALSE)</f>
        <v>#N/A</v>
      </c>
      <c r="H4" t="s">
        <v>473</v>
      </c>
      <c r="I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4" s="9" t="str">
        <f>VLOOKUP(Table1[[#This Row],[Área avaliada]],Endereços!A:B,2,0)</f>
        <v>Área Verde</v>
      </c>
      <c r="K4" t="str">
        <f>VLOOKUP(Table1[[#This Row],[Nome do avaliador ]],M:N,2,0)</f>
        <v>A</v>
      </c>
      <c r="M4" t="s">
        <v>22</v>
      </c>
      <c r="N4" t="s">
        <v>510</v>
      </c>
    </row>
    <row r="5" spans="1:14" x14ac:dyDescent="0.3">
      <c r="A5">
        <v>4</v>
      </c>
      <c r="B5" s="1">
        <v>45723.447453703702</v>
      </c>
      <c r="C5" s="1">
        <v>45723.448344907403</v>
      </c>
      <c r="D5" t="s">
        <v>11</v>
      </c>
      <c r="E5" t="s">
        <v>8</v>
      </c>
      <c r="G5" t="e">
        <f>VLOOKUP(F5,Produtos!A:B,2,FALSE)</f>
        <v>#N/A</v>
      </c>
      <c r="H5" t="s">
        <v>473</v>
      </c>
      <c r="I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5" s="9" t="str">
        <f>VLOOKUP(Table1[[#This Row],[Área avaliada]],Endereços!A:B,2,0)</f>
        <v>Picking Alto Giro</v>
      </c>
      <c r="K5" t="str">
        <f>VLOOKUP(Table1[[#This Row],[Nome do avaliador ]],M:N,2,0)</f>
        <v>C</v>
      </c>
      <c r="M5" t="s">
        <v>19</v>
      </c>
      <c r="N5" t="s">
        <v>511</v>
      </c>
    </row>
    <row r="6" spans="1:14" x14ac:dyDescent="0.3">
      <c r="A6">
        <v>5</v>
      </c>
      <c r="B6" s="1">
        <v>45735.410439814797</v>
      </c>
      <c r="C6" s="1">
        <v>45735.416192129604</v>
      </c>
      <c r="D6" t="s">
        <v>7</v>
      </c>
      <c r="E6" t="s">
        <v>12</v>
      </c>
      <c r="G6" t="e">
        <f>VLOOKUP(F6,Produtos!A:B,2,FALSE)</f>
        <v>#N/A</v>
      </c>
      <c r="H6" t="s">
        <v>473</v>
      </c>
      <c r="I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6" s="9" t="str">
        <f>VLOOKUP(Table1[[#This Row],[Área avaliada]],Endereços!A:B,2,0)</f>
        <v>Área Verde</v>
      </c>
      <c r="K6" t="str">
        <f>VLOOKUP(Table1[[#This Row],[Nome do avaliador ]],M:N,2,0)</f>
        <v>A</v>
      </c>
      <c r="M6" t="s">
        <v>28</v>
      </c>
      <c r="N6" t="s">
        <v>511</v>
      </c>
    </row>
    <row r="7" spans="1:14" x14ac:dyDescent="0.3">
      <c r="A7">
        <v>6</v>
      </c>
      <c r="B7" s="1">
        <v>45735.416377314803</v>
      </c>
      <c r="C7" s="1">
        <v>45735.417314814797</v>
      </c>
      <c r="D7" t="s">
        <v>13</v>
      </c>
      <c r="E7" t="s">
        <v>14</v>
      </c>
      <c r="G7" t="e">
        <f>VLOOKUP(F7,Produtos!A:B,2,FALSE)</f>
        <v>#N/A</v>
      </c>
      <c r="H7" t="s">
        <v>473</v>
      </c>
      <c r="I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7" s="9" t="str">
        <f>VLOOKUP(Table1[[#This Row],[Área avaliada]],Endereços!A:B,2,0)</f>
        <v>Picking Baixo Giro</v>
      </c>
      <c r="K7" t="str">
        <f>VLOOKUP(Table1[[#This Row],[Nome do avaliador ]],M:N,2,0)</f>
        <v>A</v>
      </c>
      <c r="M7" t="s">
        <v>31</v>
      </c>
      <c r="N7" t="s">
        <v>510</v>
      </c>
    </row>
    <row r="8" spans="1:14" x14ac:dyDescent="0.3">
      <c r="A8">
        <v>7</v>
      </c>
      <c r="B8" s="1">
        <v>45735.454143518502</v>
      </c>
      <c r="C8" s="1">
        <v>45735.4558217593</v>
      </c>
      <c r="D8" t="s">
        <v>514</v>
      </c>
      <c r="E8" t="s">
        <v>15</v>
      </c>
      <c r="G8" t="e">
        <f>VLOOKUP(F8,Produtos!A:B,2,FALSE)</f>
        <v>#N/A</v>
      </c>
      <c r="H8" t="s">
        <v>473</v>
      </c>
      <c r="I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8" s="9" t="str">
        <f>VLOOKUP(Table1[[#This Row],[Área avaliada]],Endereços!A:B,2,0)</f>
        <v>Picking Alto Giro</v>
      </c>
      <c r="K8" t="s">
        <v>511</v>
      </c>
      <c r="M8" s="10" t="s">
        <v>7</v>
      </c>
      <c r="N8" t="s">
        <v>511</v>
      </c>
    </row>
    <row r="9" spans="1:14" x14ac:dyDescent="0.3">
      <c r="A9">
        <v>8</v>
      </c>
      <c r="B9" s="1">
        <v>45735.455925925897</v>
      </c>
      <c r="C9" s="1">
        <v>45735.457037036998</v>
      </c>
      <c r="D9" t="s">
        <v>16</v>
      </c>
      <c r="E9" t="s">
        <v>14</v>
      </c>
      <c r="G9" t="e">
        <f>VLOOKUP(F9,Produtos!A:B,2,FALSE)</f>
        <v>#N/A</v>
      </c>
      <c r="H9" t="s">
        <v>473</v>
      </c>
      <c r="I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9" s="9" t="str">
        <f>VLOOKUP(Table1[[#This Row],[Área avaliada]],Endereços!A:B,2,0)</f>
        <v>Picking Baixo Giro</v>
      </c>
      <c r="K9" t="str">
        <f>VLOOKUP(Table1[[#This Row],[Nome do avaliador ]],M:N,2,0)</f>
        <v>A</v>
      </c>
      <c r="M9" s="7" t="s">
        <v>16</v>
      </c>
      <c r="N9" t="s">
        <v>511</v>
      </c>
    </row>
    <row r="10" spans="1:14" x14ac:dyDescent="0.3">
      <c r="A10">
        <v>9</v>
      </c>
      <c r="B10" s="1">
        <v>45735.457152777803</v>
      </c>
      <c r="C10" s="1">
        <v>45735.457789351902</v>
      </c>
      <c r="D10" t="s">
        <v>17</v>
      </c>
      <c r="E10" t="s">
        <v>18</v>
      </c>
      <c r="G10" t="e">
        <f>VLOOKUP(F10,Produtos!A:B,2,FALSE)</f>
        <v>#N/A</v>
      </c>
      <c r="H10" t="s">
        <v>474</v>
      </c>
      <c r="I1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0" s="9" t="str">
        <f>VLOOKUP(Table1[[#This Row],[Área avaliada]],Endereços!A:B,2,0)</f>
        <v>Área Vermelho</v>
      </c>
      <c r="K10" t="s">
        <v>511</v>
      </c>
      <c r="M10" s="10" t="s">
        <v>21</v>
      </c>
      <c r="N10" t="s">
        <v>510</v>
      </c>
    </row>
    <row r="11" spans="1:14" x14ac:dyDescent="0.3">
      <c r="A11">
        <v>10</v>
      </c>
      <c r="B11" s="1">
        <v>45735.457847222198</v>
      </c>
      <c r="C11" s="1">
        <v>45735.458391203698</v>
      </c>
      <c r="D11" t="s">
        <v>19</v>
      </c>
      <c r="E11" t="s">
        <v>20</v>
      </c>
      <c r="G11" t="e">
        <f>VLOOKUP(F11,Produtos!A:B,2,FALSE)</f>
        <v>#N/A</v>
      </c>
      <c r="H11" t="s">
        <v>474</v>
      </c>
      <c r="I1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1" s="9" t="str">
        <f>VLOOKUP(Table1[[#This Row],[Área avaliada]],Endereços!A:B,2,0)</f>
        <v>Área Azul</v>
      </c>
      <c r="K11" t="str">
        <f>VLOOKUP(Table1[[#This Row],[Nome do avaliador ]],M:N,2,0)</f>
        <v>A</v>
      </c>
      <c r="M11" s="10" t="s">
        <v>9</v>
      </c>
      <c r="N11" t="s">
        <v>511</v>
      </c>
    </row>
    <row r="12" spans="1:14" x14ac:dyDescent="0.3">
      <c r="A12">
        <v>11</v>
      </c>
      <c r="B12" s="1">
        <v>45735.4585532407</v>
      </c>
      <c r="C12" s="1">
        <v>45735.459907407399</v>
      </c>
      <c r="D12" t="s">
        <v>21</v>
      </c>
      <c r="E12" t="s">
        <v>12</v>
      </c>
      <c r="G12" t="e">
        <f>VLOOKUP(F12,Produtos!A:B,2,FALSE)</f>
        <v>#N/A</v>
      </c>
      <c r="H12" t="s">
        <v>474</v>
      </c>
      <c r="I1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2" s="9" t="str">
        <f>VLOOKUP(Table1[[#This Row],[Área avaliada]],Endereços!A:B,2,0)</f>
        <v>Área Verde</v>
      </c>
      <c r="K12" t="str">
        <f>VLOOKUP(Table1[[#This Row],[Nome do avaliador ]],M:N,2,0)</f>
        <v>B</v>
      </c>
      <c r="M12" s="7" t="s">
        <v>13</v>
      </c>
      <c r="N12" t="s">
        <v>511</v>
      </c>
    </row>
    <row r="13" spans="1:14" x14ac:dyDescent="0.3">
      <c r="A13">
        <v>12</v>
      </c>
      <c r="B13" s="1">
        <v>45735.459988425901</v>
      </c>
      <c r="C13" s="1">
        <v>45735.460659722201</v>
      </c>
      <c r="D13" t="s">
        <v>22</v>
      </c>
      <c r="E13" t="s">
        <v>23</v>
      </c>
      <c r="G13" t="e">
        <f>VLOOKUP(F13,Produtos!A:B,2,FALSE)</f>
        <v>#N/A</v>
      </c>
      <c r="H13" t="s">
        <v>474</v>
      </c>
      <c r="I1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3" s="9" t="str">
        <f>VLOOKUP(Table1[[#This Row],[Área avaliada]],Endereços!A:B,2,0)</f>
        <v>Área Azul</v>
      </c>
      <c r="K13" t="str">
        <f>VLOOKUP(Table1[[#This Row],[Nome do avaliador ]],M:N,2,0)</f>
        <v>B</v>
      </c>
      <c r="M13" s="10" t="s">
        <v>27</v>
      </c>
      <c r="N13" t="s">
        <v>512</v>
      </c>
    </row>
    <row r="14" spans="1:14" x14ac:dyDescent="0.3">
      <c r="A14">
        <v>13</v>
      </c>
      <c r="B14" s="1">
        <v>45735.460729166698</v>
      </c>
      <c r="C14" s="1">
        <v>45735.461759259299</v>
      </c>
      <c r="D14" t="s">
        <v>24</v>
      </c>
      <c r="E14" t="s">
        <v>25</v>
      </c>
      <c r="G14" t="e">
        <f>VLOOKUP(F14,Produtos!A:B,2,FALSE)</f>
        <v>#N/A</v>
      </c>
      <c r="H14" t="s">
        <v>474</v>
      </c>
      <c r="I1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4" s="9" t="str">
        <f>VLOOKUP(Table1[[#This Row],[Área avaliada]],Endereços!A:B,2,0)</f>
        <v>Área Azul</v>
      </c>
      <c r="K14" t="s">
        <v>510</v>
      </c>
      <c r="M14" s="7" t="s">
        <v>30</v>
      </c>
      <c r="N14" t="s">
        <v>512</v>
      </c>
    </row>
    <row r="15" spans="1:14" x14ac:dyDescent="0.3">
      <c r="A15">
        <v>14</v>
      </c>
      <c r="B15" s="1">
        <v>45735.461921296301</v>
      </c>
      <c r="C15" s="1">
        <v>45735.462777777801</v>
      </c>
      <c r="D15" t="s">
        <v>26</v>
      </c>
      <c r="E15" t="s">
        <v>12</v>
      </c>
      <c r="G15" t="e">
        <f>VLOOKUP(F15,Produtos!A:B,2,FALSE)</f>
        <v>#N/A</v>
      </c>
      <c r="H15" t="s">
        <v>474</v>
      </c>
      <c r="I1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5" s="9" t="str">
        <f>VLOOKUP(Table1[[#This Row],[Área avaliada]],Endereços!A:B,2,0)</f>
        <v>Área Verde</v>
      </c>
      <c r="K15" t="str">
        <f>VLOOKUP(Table1[[#This Row],[Nome do avaliador ]],M:N,2,0)</f>
        <v>C</v>
      </c>
      <c r="M15" s="10" t="s">
        <v>29</v>
      </c>
      <c r="N15" t="s">
        <v>510</v>
      </c>
    </row>
    <row r="16" spans="1:14" x14ac:dyDescent="0.3">
      <c r="A16">
        <v>15</v>
      </c>
      <c r="B16" s="1">
        <v>45735.462847222203</v>
      </c>
      <c r="C16" s="1">
        <v>45735.464872685203</v>
      </c>
      <c r="D16" t="s">
        <v>27</v>
      </c>
      <c r="E16" t="s">
        <v>14</v>
      </c>
      <c r="G16" t="e">
        <f>VLOOKUP(F16,Produtos!A:B,2,FALSE)</f>
        <v>#N/A</v>
      </c>
      <c r="H16" t="s">
        <v>474</v>
      </c>
      <c r="I1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6" s="9" t="str">
        <f>VLOOKUP(Table1[[#This Row],[Área avaliada]],Endereços!A:B,2,0)</f>
        <v>Picking Baixo Giro</v>
      </c>
      <c r="K16" t="str">
        <f>VLOOKUP(Table1[[#This Row],[Nome do avaliador ]],M:N,2,0)</f>
        <v>C</v>
      </c>
      <c r="M16" s="7" t="s">
        <v>11</v>
      </c>
      <c r="N16" t="s">
        <v>512</v>
      </c>
    </row>
    <row r="17" spans="1:14" x14ac:dyDescent="0.3">
      <c r="A17">
        <v>16</v>
      </c>
      <c r="B17" s="1">
        <v>45735.465069444399</v>
      </c>
      <c r="C17" s="1">
        <v>45735.466377314799</v>
      </c>
      <c r="D17" t="s">
        <v>28</v>
      </c>
      <c r="E17" t="s">
        <v>15</v>
      </c>
      <c r="G17" t="e">
        <f>VLOOKUP(F17,Produtos!A:B,2,FALSE)</f>
        <v>#N/A</v>
      </c>
      <c r="H17" t="s">
        <v>474</v>
      </c>
      <c r="I1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7" s="9" t="str">
        <f>VLOOKUP(Table1[[#This Row],[Área avaliada]],Endereços!A:B,2,0)</f>
        <v>Picking Alto Giro</v>
      </c>
      <c r="K17" t="str">
        <f>VLOOKUP(Table1[[#This Row],[Nome do avaliador ]],M:N,2,0)</f>
        <v>A</v>
      </c>
      <c r="M17" s="11" t="s">
        <v>26</v>
      </c>
      <c r="N17" t="s">
        <v>512</v>
      </c>
    </row>
    <row r="18" spans="1:14" x14ac:dyDescent="0.3">
      <c r="A18">
        <v>17</v>
      </c>
      <c r="B18" s="1">
        <v>45735.466435185197</v>
      </c>
      <c r="C18" s="1">
        <v>45735.467094907399</v>
      </c>
      <c r="D18" t="s">
        <v>31</v>
      </c>
      <c r="E18" t="s">
        <v>14</v>
      </c>
      <c r="G18" t="e">
        <f>VLOOKUP(F18,Produtos!A:B,2,FALSE)</f>
        <v>#N/A</v>
      </c>
      <c r="H18" t="s">
        <v>474</v>
      </c>
      <c r="I1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8" s="9" t="str">
        <f>VLOOKUP(Table1[[#This Row],[Área avaliada]],Endereços!A:B,2,0)</f>
        <v>Picking Baixo Giro</v>
      </c>
      <c r="K18" t="str">
        <f>VLOOKUP(Table1[[#This Row],[Nome do avaliador ]],M:N,2,0)</f>
        <v>B</v>
      </c>
      <c r="M18" s="10" t="s">
        <v>507</v>
      </c>
      <c r="N18" t="s">
        <v>510</v>
      </c>
    </row>
    <row r="19" spans="1:14" x14ac:dyDescent="0.3">
      <c r="A19">
        <v>18</v>
      </c>
      <c r="B19" s="1">
        <v>45735.467152777797</v>
      </c>
      <c r="C19" s="1">
        <v>45735.4678472222</v>
      </c>
      <c r="D19" t="s">
        <v>30</v>
      </c>
      <c r="E19" t="s">
        <v>25</v>
      </c>
      <c r="G19" t="e">
        <f>VLOOKUP(F19,Produtos!A:B,2,FALSE)</f>
        <v>#N/A</v>
      </c>
      <c r="H19" t="s">
        <v>474</v>
      </c>
      <c r="I1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9" s="9" t="str">
        <f>VLOOKUP(Table1[[#This Row],[Área avaliada]],Endereços!A:B,2,0)</f>
        <v>Área Azul</v>
      </c>
      <c r="K19" t="str">
        <f>VLOOKUP(Table1[[#This Row],[Nome do avaliador ]],M:N,2,0)</f>
        <v>C</v>
      </c>
      <c r="M19" s="11" t="s">
        <v>35</v>
      </c>
      <c r="N19" t="s">
        <v>510</v>
      </c>
    </row>
    <row r="20" spans="1:14" x14ac:dyDescent="0.3">
      <c r="A20">
        <v>19</v>
      </c>
      <c r="B20" s="1">
        <v>45735.4678935185</v>
      </c>
      <c r="C20" s="1">
        <v>45735.468738425901</v>
      </c>
      <c r="D20" t="s">
        <v>9</v>
      </c>
      <c r="E20" t="s">
        <v>12</v>
      </c>
      <c r="G20" t="e">
        <f>VLOOKUP(F20,Produtos!A:B,2,FALSE)</f>
        <v>#N/A</v>
      </c>
      <c r="H20" t="s">
        <v>474</v>
      </c>
      <c r="I2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0" s="9" t="str">
        <f>VLOOKUP(Table1[[#This Row],[Área avaliada]],Endereços!A:B,2,0)</f>
        <v>Área Verde</v>
      </c>
      <c r="K20" t="str">
        <f>VLOOKUP(Table1[[#This Row],[Nome do avaliador ]],M:N,2,0)</f>
        <v>A</v>
      </c>
      <c r="M20" s="11" t="s">
        <v>38</v>
      </c>
      <c r="N20" t="s">
        <v>510</v>
      </c>
    </row>
    <row r="21" spans="1:14" x14ac:dyDescent="0.3">
      <c r="A21">
        <v>20</v>
      </c>
      <c r="B21" s="1">
        <v>45735.468807870398</v>
      </c>
      <c r="C21" s="1">
        <v>45735.469432870399</v>
      </c>
      <c r="D21" t="s">
        <v>11</v>
      </c>
      <c r="E21" t="s">
        <v>15</v>
      </c>
      <c r="G21" t="e">
        <f>VLOOKUP(F21,Produtos!A:B,2,FALSE)</f>
        <v>#N/A</v>
      </c>
      <c r="H21" t="s">
        <v>474</v>
      </c>
      <c r="I2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1" s="9" t="str">
        <f>VLOOKUP(Table1[[#This Row],[Área avaliada]],Endereços!A:B,2,0)</f>
        <v>Picking Alto Giro</v>
      </c>
      <c r="K21" t="str">
        <f>VLOOKUP(Table1[[#This Row],[Nome do avaliador ]],M:N,2,0)</f>
        <v>C</v>
      </c>
    </row>
    <row r="22" spans="1:14" x14ac:dyDescent="0.3">
      <c r="A22">
        <v>21</v>
      </c>
      <c r="B22" s="1">
        <v>45735.469479166699</v>
      </c>
      <c r="C22" s="1">
        <v>45735.470185185201</v>
      </c>
      <c r="D22" t="s">
        <v>13</v>
      </c>
      <c r="E22" t="s">
        <v>23</v>
      </c>
      <c r="G22" t="e">
        <f>VLOOKUP(F22,Produtos!A:B,2,FALSE)</f>
        <v>#N/A</v>
      </c>
      <c r="H22" t="s">
        <v>474</v>
      </c>
      <c r="I2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2" s="9" t="str">
        <f>VLOOKUP(Table1[[#This Row],[Área avaliada]],Endereços!A:B,2,0)</f>
        <v>Área Azul</v>
      </c>
      <c r="K22" t="str">
        <f>VLOOKUP(Table1[[#This Row],[Nome do avaliador ]],M:N,2,0)</f>
        <v>A</v>
      </c>
    </row>
    <row r="23" spans="1:14" x14ac:dyDescent="0.3">
      <c r="A23">
        <v>22</v>
      </c>
      <c r="B23" s="1">
        <v>45737.671597222201</v>
      </c>
      <c r="C23" s="1">
        <v>45737.674918981502</v>
      </c>
      <c r="D23" t="s">
        <v>13</v>
      </c>
      <c r="E23" t="s">
        <v>23</v>
      </c>
      <c r="G23" t="e">
        <f>VLOOKUP(F23,Produtos!A:B,2,FALSE)</f>
        <v>#N/A</v>
      </c>
      <c r="H23" t="s">
        <v>474</v>
      </c>
      <c r="I2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3" s="9" t="str">
        <f>VLOOKUP(Table1[[#This Row],[Área avaliada]],Endereços!A:B,2,0)</f>
        <v>Área Azul</v>
      </c>
      <c r="K23" t="str">
        <f>VLOOKUP(Table1[[#This Row],[Nome do avaliador ]],M:N,2,0)</f>
        <v>A</v>
      </c>
    </row>
    <row r="24" spans="1:14" x14ac:dyDescent="0.3">
      <c r="A24">
        <v>23</v>
      </c>
      <c r="B24" s="1">
        <v>45737.675509259301</v>
      </c>
      <c r="C24" s="1">
        <v>45737.6775694444</v>
      </c>
      <c r="D24" t="s">
        <v>13</v>
      </c>
      <c r="E24" t="s">
        <v>23</v>
      </c>
      <c r="G24" t="e">
        <f>VLOOKUP(F24,Produtos!A:B,2,FALSE)</f>
        <v>#N/A</v>
      </c>
      <c r="H24" t="s">
        <v>499</v>
      </c>
      <c r="I2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4" s="9" t="str">
        <f>VLOOKUP(Table1[[#This Row],[Área avaliada]],Endereços!A:B,2,0)</f>
        <v>Área Azul</v>
      </c>
      <c r="K24" t="str">
        <f>VLOOKUP(Table1[[#This Row],[Nome do avaliador ]],M:N,2,0)</f>
        <v>A</v>
      </c>
    </row>
    <row r="25" spans="1:14" x14ac:dyDescent="0.3">
      <c r="A25">
        <v>24</v>
      </c>
      <c r="B25" s="1">
        <v>45740.442708333299</v>
      </c>
      <c r="C25" s="1">
        <v>45740.443993055596</v>
      </c>
      <c r="D25" t="s">
        <v>13</v>
      </c>
      <c r="E25" t="s">
        <v>25</v>
      </c>
      <c r="G25" t="e">
        <f>VLOOKUP(F25,Produtos!A:B,2,FALSE)</f>
        <v>#N/A</v>
      </c>
      <c r="H25" t="s">
        <v>499</v>
      </c>
      <c r="I2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5" s="9" t="str">
        <f>VLOOKUP(Table1[[#This Row],[Área avaliada]],Endereços!A:B,2,0)</f>
        <v>Área Azul</v>
      </c>
      <c r="K25" t="str">
        <f>VLOOKUP(Table1[[#This Row],[Nome do avaliador ]],M:N,2,0)</f>
        <v>A</v>
      </c>
    </row>
    <row r="26" spans="1:14" x14ac:dyDescent="0.3">
      <c r="A26">
        <v>25</v>
      </c>
      <c r="B26" s="1">
        <v>45747.860300925902</v>
      </c>
      <c r="C26" s="1">
        <v>45747.866875</v>
      </c>
      <c r="D26" t="s">
        <v>21</v>
      </c>
      <c r="E26" t="s">
        <v>14</v>
      </c>
      <c r="G26" t="e">
        <f>VLOOKUP(F26,Produtos!A:B,2,FALSE)</f>
        <v>#N/A</v>
      </c>
      <c r="H26" t="s">
        <v>499</v>
      </c>
      <c r="I2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6" s="9" t="str">
        <f>VLOOKUP(Table1[[#This Row],[Área avaliada]],Endereços!A:B,2,0)</f>
        <v>Picking Baixo Giro</v>
      </c>
      <c r="K26" t="str">
        <f>VLOOKUP(Table1[[#This Row],[Nome do avaliador ]],M:N,2,0)</f>
        <v>B</v>
      </c>
    </row>
    <row r="27" spans="1:14" x14ac:dyDescent="0.3">
      <c r="A27">
        <v>26</v>
      </c>
      <c r="B27" s="1">
        <v>45748.761701388903</v>
      </c>
      <c r="C27" s="1">
        <v>45748.776018518503</v>
      </c>
      <c r="D27" t="s">
        <v>31</v>
      </c>
      <c r="E27" t="s">
        <v>15</v>
      </c>
      <c r="G27" t="e">
        <f>VLOOKUP(F27,Produtos!A:B,2,FALSE)</f>
        <v>#N/A</v>
      </c>
      <c r="H27" t="s">
        <v>499</v>
      </c>
      <c r="I2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27" s="9" t="str">
        <f>VLOOKUP(Table1[[#This Row],[Área avaliada]],Endereços!A:B,2,0)</f>
        <v>Picking Alto Giro</v>
      </c>
      <c r="K27" t="str">
        <f>VLOOKUP(Table1[[#This Row],[Nome do avaliador ]],M:N,2,0)</f>
        <v>B</v>
      </c>
    </row>
    <row r="28" spans="1:14" x14ac:dyDescent="0.3">
      <c r="A28">
        <v>27</v>
      </c>
      <c r="B28" s="1">
        <v>45751.709201388898</v>
      </c>
      <c r="C28" s="1">
        <v>45751.731296296297</v>
      </c>
      <c r="D28" t="s">
        <v>28</v>
      </c>
      <c r="E28" t="s">
        <v>14</v>
      </c>
      <c r="G28" t="e">
        <f>VLOOKUP(F28,Produtos!A:B,2,FALSE)</f>
        <v>#N/A</v>
      </c>
      <c r="H28" t="s">
        <v>499</v>
      </c>
      <c r="I2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28" s="9" t="str">
        <f>VLOOKUP(Table1[[#This Row],[Área avaliada]],Endereços!A:B,2,0)</f>
        <v>Picking Baixo Giro</v>
      </c>
      <c r="K28" t="str">
        <f>VLOOKUP(Table1[[#This Row],[Nome do avaliador ]],M:N,2,0)</f>
        <v>A</v>
      </c>
    </row>
    <row r="29" spans="1:14" x14ac:dyDescent="0.3">
      <c r="A29">
        <v>28</v>
      </c>
      <c r="B29" s="1">
        <v>45757.818206018499</v>
      </c>
      <c r="C29" s="1">
        <v>45757.831504629597</v>
      </c>
      <c r="D29" t="s">
        <v>31</v>
      </c>
      <c r="E29" t="s">
        <v>18</v>
      </c>
      <c r="G29" t="e">
        <f>VLOOKUP(F29,Produtos!A:B,2,FALSE)</f>
        <v>#N/A</v>
      </c>
      <c r="H29" t="s">
        <v>499</v>
      </c>
      <c r="I2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29" s="9" t="str">
        <f>VLOOKUP(Table1[[#This Row],[Área avaliada]],Endereços!A:B,2,0)</f>
        <v>Área Vermelho</v>
      </c>
      <c r="K29" t="str">
        <f>VLOOKUP(Table1[[#This Row],[Nome do avaliador ]],M:N,2,0)</f>
        <v>B</v>
      </c>
    </row>
    <row r="30" spans="1:14" x14ac:dyDescent="0.3">
      <c r="A30">
        <v>29</v>
      </c>
      <c r="B30" s="1">
        <v>45764.640682870398</v>
      </c>
      <c r="C30" s="1">
        <v>45764.645243055602</v>
      </c>
      <c r="D30" t="s">
        <v>31</v>
      </c>
      <c r="E30" t="s">
        <v>15</v>
      </c>
      <c r="G30" t="e">
        <f>VLOOKUP(F30,Produtos!A:B,2,FALSE)</f>
        <v>#N/A</v>
      </c>
      <c r="H30" t="s">
        <v>499</v>
      </c>
      <c r="I3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0" s="9" t="str">
        <f>VLOOKUP(Table1[[#This Row],[Área avaliada]],Endereços!A:B,2,0)</f>
        <v>Picking Alto Giro</v>
      </c>
      <c r="K30" t="str">
        <f>VLOOKUP(Table1[[#This Row],[Nome do avaliador ]],M:N,2,0)</f>
        <v>B</v>
      </c>
    </row>
    <row r="31" spans="1:14" x14ac:dyDescent="0.3">
      <c r="A31">
        <v>30</v>
      </c>
      <c r="B31" s="1">
        <v>45764.705000000002</v>
      </c>
      <c r="C31" s="1">
        <v>45764.707222222198</v>
      </c>
      <c r="D31" t="s">
        <v>21</v>
      </c>
      <c r="E31" t="s">
        <v>32</v>
      </c>
      <c r="G31" t="e">
        <f>VLOOKUP(F31,Produtos!A:B,2,FALSE)</f>
        <v>#N/A</v>
      </c>
      <c r="H31" t="s">
        <v>499</v>
      </c>
      <c r="I3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1" s="9" t="str">
        <f>VLOOKUP(Table1[[#This Row],[Área avaliada]],Endereços!A:B,2,0)</f>
        <v>Área Vermelho</v>
      </c>
      <c r="K31" t="str">
        <f>VLOOKUP(Table1[[#This Row],[Nome do avaliador ]],M:N,2,0)</f>
        <v>B</v>
      </c>
    </row>
    <row r="32" spans="1:14" x14ac:dyDescent="0.3">
      <c r="A32">
        <v>31</v>
      </c>
      <c r="B32" s="1">
        <v>45765.606481481504</v>
      </c>
      <c r="C32" s="1">
        <v>45765.607928240701</v>
      </c>
      <c r="D32" t="s">
        <v>28</v>
      </c>
      <c r="E32" t="s">
        <v>14</v>
      </c>
      <c r="G32" t="e">
        <f>VLOOKUP(F32,Produtos!A:B,2,FALSE)</f>
        <v>#N/A</v>
      </c>
      <c r="H32" t="s">
        <v>499</v>
      </c>
      <c r="I3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2" s="9" t="str">
        <f>VLOOKUP(Table1[[#This Row],[Área avaliada]],Endereços!A:B,2,0)</f>
        <v>Picking Baixo Giro</v>
      </c>
      <c r="K32" t="str">
        <f>VLOOKUP(Table1[[#This Row],[Nome do avaliador ]],M:N,2,0)</f>
        <v>A</v>
      </c>
    </row>
    <row r="33" spans="1:11" x14ac:dyDescent="0.3">
      <c r="A33">
        <v>32</v>
      </c>
      <c r="B33" s="1">
        <v>45772.842118055603</v>
      </c>
      <c r="C33" s="1">
        <v>45772.843136574098</v>
      </c>
      <c r="D33" t="s">
        <v>28</v>
      </c>
      <c r="E33" t="s">
        <v>15</v>
      </c>
      <c r="G33" t="e">
        <f>VLOOKUP(F33,Produtos!A:B,2,FALSE)</f>
        <v>#N/A</v>
      </c>
      <c r="H33" t="s">
        <v>499</v>
      </c>
      <c r="I3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3" s="9" t="str">
        <f>VLOOKUP(Table1[[#This Row],[Área avaliada]],Endereços!A:B,2,0)</f>
        <v>Picking Alto Giro</v>
      </c>
      <c r="K33" t="str">
        <f>VLOOKUP(Table1[[#This Row],[Nome do avaliador ]],M:N,2,0)</f>
        <v>A</v>
      </c>
    </row>
    <row r="34" spans="1:11" x14ac:dyDescent="0.3">
      <c r="A34">
        <v>33</v>
      </c>
      <c r="B34" s="1">
        <v>45775.8191898148</v>
      </c>
      <c r="C34" s="1">
        <v>45775.820729166699</v>
      </c>
      <c r="D34" t="s">
        <v>21</v>
      </c>
      <c r="E34" t="s">
        <v>32</v>
      </c>
      <c r="G34" t="e">
        <f>VLOOKUP(F34,Produtos!A:B,2,FALSE)</f>
        <v>#N/A</v>
      </c>
      <c r="H34" t="s">
        <v>499</v>
      </c>
      <c r="I3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4" s="9" t="str">
        <f>VLOOKUP(Table1[[#This Row],[Área avaliada]],Endereços!A:B,2,0)</f>
        <v>Área Vermelho</v>
      </c>
      <c r="K34" t="str">
        <f>VLOOKUP(Table1[[#This Row],[Nome do avaliador ]],M:N,2,0)</f>
        <v>B</v>
      </c>
    </row>
    <row r="35" spans="1:11" x14ac:dyDescent="0.3">
      <c r="A35">
        <v>34</v>
      </c>
      <c r="B35" s="1">
        <v>45775.827187499999</v>
      </c>
      <c r="C35" s="1">
        <v>45775.831562500003</v>
      </c>
      <c r="D35" t="s">
        <v>26</v>
      </c>
      <c r="E35" t="s">
        <v>32</v>
      </c>
      <c r="G35" t="e">
        <f>VLOOKUP(F35,Produtos!A:B,2,FALSE)</f>
        <v>#N/A</v>
      </c>
      <c r="H35" t="s">
        <v>499</v>
      </c>
      <c r="I3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5" s="9" t="str">
        <f>VLOOKUP(Table1[[#This Row],[Área avaliada]],Endereços!A:B,2,0)</f>
        <v>Área Vermelho</v>
      </c>
      <c r="K35" t="str">
        <f>VLOOKUP(Table1[[#This Row],[Nome do avaliador ]],M:N,2,0)</f>
        <v>C</v>
      </c>
    </row>
    <row r="36" spans="1:11" x14ac:dyDescent="0.3">
      <c r="A36">
        <v>35</v>
      </c>
      <c r="B36" s="1">
        <v>45777.441782407397</v>
      </c>
      <c r="C36" s="1">
        <v>45777.442858796298</v>
      </c>
      <c r="D36" t="s">
        <v>21</v>
      </c>
      <c r="E36" t="s">
        <v>32</v>
      </c>
      <c r="G36" t="e">
        <f>VLOOKUP(F36,Produtos!A:B,2,FALSE)</f>
        <v>#N/A</v>
      </c>
      <c r="H36" t="s">
        <v>499</v>
      </c>
      <c r="I3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6" s="9" t="str">
        <f>VLOOKUP(Table1[[#This Row],[Área avaliada]],Endereços!A:B,2,0)</f>
        <v>Área Vermelho</v>
      </c>
      <c r="K36" t="str">
        <f>VLOOKUP(Table1[[#This Row],[Nome do avaliador ]],M:N,2,0)</f>
        <v>B</v>
      </c>
    </row>
    <row r="37" spans="1:11" x14ac:dyDescent="0.3">
      <c r="A37">
        <v>36</v>
      </c>
      <c r="B37" s="1">
        <v>45785.347291666701</v>
      </c>
      <c r="C37" s="1">
        <v>45785.391087962998</v>
      </c>
      <c r="D37" t="s">
        <v>17</v>
      </c>
      <c r="E37" t="s">
        <v>23</v>
      </c>
      <c r="G37" t="e">
        <f>VLOOKUP(F37,Produtos!A:B,2,FALSE)</f>
        <v>#N/A</v>
      </c>
      <c r="H37" t="s">
        <v>499</v>
      </c>
      <c r="I3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37" s="9" t="str">
        <f>VLOOKUP(Table1[[#This Row],[Área avaliada]],Endereços!A:B,2,0)</f>
        <v>Área Azul</v>
      </c>
      <c r="K37" t="s">
        <v>511</v>
      </c>
    </row>
    <row r="38" spans="1:11" x14ac:dyDescent="0.3">
      <c r="A38">
        <v>37</v>
      </c>
      <c r="B38" s="1">
        <v>45785.394467592603</v>
      </c>
      <c r="C38" s="1">
        <v>45785.395208333299</v>
      </c>
      <c r="D38" t="s">
        <v>17</v>
      </c>
      <c r="E38" t="s">
        <v>23</v>
      </c>
      <c r="G38" t="e">
        <f>VLOOKUP(F38,Produtos!A:B,2,FALSE)</f>
        <v>#N/A</v>
      </c>
      <c r="H38" t="s">
        <v>499</v>
      </c>
      <c r="I3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38" s="9" t="str">
        <f>VLOOKUP(Table1[[#This Row],[Área avaliada]],Endereços!A:B,2,0)</f>
        <v>Área Azul</v>
      </c>
    </row>
    <row r="39" spans="1:11" x14ac:dyDescent="0.3">
      <c r="A39">
        <v>38</v>
      </c>
      <c r="B39" s="1">
        <v>45785.395439814798</v>
      </c>
      <c r="C39" s="1">
        <v>45785.396134259303</v>
      </c>
      <c r="D39" t="s">
        <v>17</v>
      </c>
      <c r="E39" t="s">
        <v>23</v>
      </c>
      <c r="G39" t="e">
        <f>VLOOKUP(F39,Produtos!A:B,2,FALSE)</f>
        <v>#N/A</v>
      </c>
      <c r="H39" t="s">
        <v>499</v>
      </c>
      <c r="I3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39" s="9" t="str">
        <f>VLOOKUP(Table1[[#This Row],[Área avaliada]],Endereços!A:B,2,0)</f>
        <v>Área Azul</v>
      </c>
    </row>
    <row r="40" spans="1:11" x14ac:dyDescent="0.3">
      <c r="A40">
        <v>39</v>
      </c>
      <c r="B40" s="1">
        <v>45785.398599537002</v>
      </c>
      <c r="C40" s="1">
        <v>45785.399236111101</v>
      </c>
      <c r="D40" t="s">
        <v>17</v>
      </c>
      <c r="E40" t="s">
        <v>23</v>
      </c>
      <c r="G40" t="e">
        <f>VLOOKUP(F40,Produtos!A:B,2,FALSE)</f>
        <v>#N/A</v>
      </c>
      <c r="H40" t="s">
        <v>499</v>
      </c>
      <c r="I4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0" s="9" t="str">
        <f>VLOOKUP(Table1[[#This Row],[Área avaliada]],Endereços!A:B,2,0)</f>
        <v>Área Azul</v>
      </c>
    </row>
    <row r="41" spans="1:11" x14ac:dyDescent="0.3">
      <c r="A41">
        <v>40</v>
      </c>
      <c r="B41" s="1">
        <v>45785.401782407404</v>
      </c>
      <c r="C41" s="1">
        <v>45785.402361111097</v>
      </c>
      <c r="D41" t="s">
        <v>17</v>
      </c>
      <c r="E41" t="s">
        <v>23</v>
      </c>
      <c r="G41" t="e">
        <f>VLOOKUP(F41,Produtos!A:B,2,FALSE)</f>
        <v>#N/A</v>
      </c>
      <c r="H41" t="s">
        <v>499</v>
      </c>
      <c r="I4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1" s="9" t="str">
        <f>VLOOKUP(Table1[[#This Row],[Área avaliada]],Endereços!A:B,2,0)</f>
        <v>Área Azul</v>
      </c>
    </row>
    <row r="42" spans="1:11" x14ac:dyDescent="0.3">
      <c r="A42">
        <v>41</v>
      </c>
      <c r="B42" s="1">
        <v>45785.402986111098</v>
      </c>
      <c r="C42" s="1">
        <v>45785.403518518498</v>
      </c>
      <c r="D42" t="s">
        <v>17</v>
      </c>
      <c r="E42" t="s">
        <v>23</v>
      </c>
      <c r="G42" t="e">
        <f>VLOOKUP(F42,Produtos!A:B,2,FALSE)</f>
        <v>#N/A</v>
      </c>
      <c r="H42" t="s">
        <v>499</v>
      </c>
      <c r="I4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2" s="9" t="str">
        <f>VLOOKUP(Table1[[#This Row],[Área avaliada]],Endereços!A:B,2,0)</f>
        <v>Área Azul</v>
      </c>
    </row>
    <row r="43" spans="1:11" x14ac:dyDescent="0.3">
      <c r="A43">
        <v>42</v>
      </c>
      <c r="B43" s="1">
        <v>45785.4070601852</v>
      </c>
      <c r="C43" s="1">
        <v>45785.407766203702</v>
      </c>
      <c r="D43" t="s">
        <v>17</v>
      </c>
      <c r="E43" t="s">
        <v>23</v>
      </c>
      <c r="G43" t="e">
        <f>VLOOKUP(F43,Produtos!A:B,2,FALSE)</f>
        <v>#N/A</v>
      </c>
      <c r="H43" t="s">
        <v>499</v>
      </c>
      <c r="I4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3" s="9" t="str">
        <f>VLOOKUP(Table1[[#This Row],[Área avaliada]],Endereços!A:B,2,0)</f>
        <v>Área Azul</v>
      </c>
    </row>
    <row r="44" spans="1:11" x14ac:dyDescent="0.3">
      <c r="A44">
        <v>43</v>
      </c>
      <c r="B44" s="1">
        <v>45785.407789351797</v>
      </c>
      <c r="C44" s="1">
        <v>45785.4083217593</v>
      </c>
      <c r="D44" t="s">
        <v>17</v>
      </c>
      <c r="E44" t="s">
        <v>23</v>
      </c>
      <c r="G44" t="e">
        <f>VLOOKUP(F44,Produtos!A:B,2,FALSE)</f>
        <v>#N/A</v>
      </c>
      <c r="H44" t="s">
        <v>499</v>
      </c>
      <c r="I4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4" s="9" t="str">
        <f>VLOOKUP(Table1[[#This Row],[Área avaliada]],Endereços!A:B,2,0)</f>
        <v>Área Azul</v>
      </c>
    </row>
    <row r="45" spans="1:11" x14ac:dyDescent="0.3">
      <c r="A45">
        <v>44</v>
      </c>
      <c r="B45" s="1">
        <v>45785.409976851799</v>
      </c>
      <c r="C45" s="1">
        <v>45785.410520833299</v>
      </c>
      <c r="D45" t="s">
        <v>17</v>
      </c>
      <c r="E45" t="s">
        <v>23</v>
      </c>
      <c r="G45" t="e">
        <f>VLOOKUP(F45,Produtos!A:B,2,FALSE)</f>
        <v>#N/A</v>
      </c>
      <c r="H45" t="s">
        <v>499</v>
      </c>
      <c r="I4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5" s="9" t="str">
        <f>VLOOKUP(Table1[[#This Row],[Área avaliada]],Endereços!A:B,2,0)</f>
        <v>Área Azul</v>
      </c>
    </row>
    <row r="46" spans="1:11" x14ac:dyDescent="0.3">
      <c r="A46">
        <v>45</v>
      </c>
      <c r="B46" s="1">
        <v>45785.411597222199</v>
      </c>
      <c r="C46" s="1">
        <v>45785.4121296296</v>
      </c>
      <c r="D46" t="s">
        <v>17</v>
      </c>
      <c r="E46" t="s">
        <v>23</v>
      </c>
      <c r="G46" t="e">
        <f>VLOOKUP(F46,Produtos!A:B,2,FALSE)</f>
        <v>#N/A</v>
      </c>
      <c r="H46" t="s">
        <v>499</v>
      </c>
      <c r="I4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6" s="9" t="str">
        <f>VLOOKUP(Table1[[#This Row],[Área avaliada]],Endereços!A:B,2,0)</f>
        <v>Área Azul</v>
      </c>
    </row>
    <row r="47" spans="1:11" x14ac:dyDescent="0.3">
      <c r="A47">
        <v>46</v>
      </c>
      <c r="B47" s="1">
        <v>45785.412430555603</v>
      </c>
      <c r="C47" s="1">
        <v>45785.413009259297</v>
      </c>
      <c r="D47" t="s">
        <v>17</v>
      </c>
      <c r="E47" t="s">
        <v>23</v>
      </c>
      <c r="G47" t="e">
        <f>VLOOKUP(F47,Produtos!A:B,2,FALSE)</f>
        <v>#N/A</v>
      </c>
      <c r="H47" t="s">
        <v>499</v>
      </c>
      <c r="I4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7" s="9" t="str">
        <f>VLOOKUP(Table1[[#This Row],[Área avaliada]],Endereços!A:B,2,0)</f>
        <v>Área Azul</v>
      </c>
    </row>
    <row r="48" spans="1:11" x14ac:dyDescent="0.3">
      <c r="A48">
        <v>47</v>
      </c>
      <c r="B48" s="1">
        <v>45785.418217592603</v>
      </c>
      <c r="C48" s="1">
        <v>45785.418877314798</v>
      </c>
      <c r="D48" t="s">
        <v>17</v>
      </c>
      <c r="E48" t="s">
        <v>20</v>
      </c>
      <c r="G48" t="e">
        <f>VLOOKUP(F48,Produtos!A:B,2,FALSE)</f>
        <v>#N/A</v>
      </c>
      <c r="H48" t="s">
        <v>499</v>
      </c>
      <c r="I4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8" s="9" t="str">
        <f>VLOOKUP(Table1[[#This Row],[Área avaliada]],Endereços!A:B,2,0)</f>
        <v>Área Azul</v>
      </c>
    </row>
    <row r="49" spans="1:11" x14ac:dyDescent="0.3">
      <c r="A49">
        <v>48</v>
      </c>
      <c r="B49" s="1">
        <v>45785.420081018499</v>
      </c>
      <c r="C49" s="1">
        <v>45785.4207986111</v>
      </c>
      <c r="D49" t="s">
        <v>17</v>
      </c>
      <c r="E49" t="s">
        <v>33</v>
      </c>
      <c r="G49" t="e">
        <f>VLOOKUP(F49,Produtos!A:B,2,FALSE)</f>
        <v>#N/A</v>
      </c>
      <c r="H49" t="s">
        <v>499</v>
      </c>
      <c r="I4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9" s="9" t="str">
        <f>VLOOKUP(Table1[[#This Row],[Área avaliada]],Endereços!A:B,2,0)</f>
        <v>Área Verde</v>
      </c>
    </row>
    <row r="50" spans="1:11" x14ac:dyDescent="0.3">
      <c r="A50">
        <v>49</v>
      </c>
      <c r="B50" s="1">
        <v>45785.421481481499</v>
      </c>
      <c r="C50" s="1">
        <v>45785.4222337963</v>
      </c>
      <c r="D50" t="s">
        <v>17</v>
      </c>
      <c r="E50" t="s">
        <v>20</v>
      </c>
      <c r="G50" t="e">
        <f>VLOOKUP(F50,Produtos!A:B,2,FALSE)</f>
        <v>#N/A</v>
      </c>
      <c r="H50" t="s">
        <v>499</v>
      </c>
      <c r="I5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0" s="9" t="str">
        <f>VLOOKUP(Table1[[#This Row],[Área avaliada]],Endereços!A:B,2,0)</f>
        <v>Área Azul</v>
      </c>
    </row>
    <row r="51" spans="1:11" x14ac:dyDescent="0.3">
      <c r="A51">
        <v>50</v>
      </c>
      <c r="B51" s="1">
        <v>45785.422256944403</v>
      </c>
      <c r="C51" s="1">
        <v>45785.422893518502</v>
      </c>
      <c r="D51" t="s">
        <v>17</v>
      </c>
      <c r="E51" t="s">
        <v>20</v>
      </c>
      <c r="G51" t="e">
        <f>VLOOKUP(F51,Produtos!A:B,2,FALSE)</f>
        <v>#N/A</v>
      </c>
      <c r="H51" t="s">
        <v>499</v>
      </c>
      <c r="I5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1" s="9" t="str">
        <f>VLOOKUP(Table1[[#This Row],[Área avaliada]],Endereços!A:B,2,0)</f>
        <v>Área Azul</v>
      </c>
    </row>
    <row r="52" spans="1:11" x14ac:dyDescent="0.3">
      <c r="A52">
        <v>51</v>
      </c>
      <c r="B52" s="1">
        <v>45785.425185185202</v>
      </c>
      <c r="C52" s="1">
        <v>45785.425706018497</v>
      </c>
      <c r="D52" t="s">
        <v>17</v>
      </c>
      <c r="E52" t="s">
        <v>20</v>
      </c>
      <c r="G52" t="e">
        <f>VLOOKUP(F52,Produtos!A:B,2,FALSE)</f>
        <v>#N/A</v>
      </c>
      <c r="H52" t="s">
        <v>499</v>
      </c>
      <c r="I5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2" s="9" t="str">
        <f>VLOOKUP(Table1[[#This Row],[Área avaliada]],Endereços!A:B,2,0)</f>
        <v>Área Azul</v>
      </c>
    </row>
    <row r="53" spans="1:11" x14ac:dyDescent="0.3">
      <c r="A53">
        <v>52</v>
      </c>
      <c r="B53" s="1">
        <v>45785.6496990741</v>
      </c>
      <c r="C53" s="1">
        <v>45785.663136574098</v>
      </c>
      <c r="D53" t="s">
        <v>31</v>
      </c>
      <c r="E53" t="s">
        <v>14</v>
      </c>
      <c r="G53" t="e">
        <f>VLOOKUP(F53,Produtos!A:B,2,FALSE)</f>
        <v>#N/A</v>
      </c>
      <c r="H53" t="s">
        <v>499</v>
      </c>
      <c r="I5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3" s="9" t="str">
        <f>VLOOKUP(Table1[[#This Row],[Área avaliada]],Endereços!A:B,2,0)</f>
        <v>Picking Baixo Giro</v>
      </c>
      <c r="K53" t="str">
        <f>VLOOKUP(Table1[[#This Row],[Nome do avaliador ]],M:N,2,0)</f>
        <v>B</v>
      </c>
    </row>
    <row r="54" spans="1:11" x14ac:dyDescent="0.3">
      <c r="A54">
        <v>53</v>
      </c>
      <c r="B54" s="1">
        <v>45786.341828703698</v>
      </c>
      <c r="C54" s="1">
        <v>45786.343692129602</v>
      </c>
      <c r="D54" t="s">
        <v>17</v>
      </c>
      <c r="E54" t="s">
        <v>23</v>
      </c>
      <c r="G54" t="e">
        <f>VLOOKUP(F54,Produtos!A:B,2,FALSE)</f>
        <v>#N/A</v>
      </c>
      <c r="H54" t="s">
        <v>499</v>
      </c>
      <c r="I5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4" s="9" t="str">
        <f>VLOOKUP(Table1[[#This Row],[Área avaliada]],Endereços!A:B,2,0)</f>
        <v>Área Azul</v>
      </c>
    </row>
    <row r="55" spans="1:11" x14ac:dyDescent="0.3">
      <c r="A55">
        <v>54</v>
      </c>
      <c r="B55" s="1">
        <v>45786.343877314801</v>
      </c>
      <c r="C55" s="1">
        <v>45786.3444675926</v>
      </c>
      <c r="D55" t="s">
        <v>17</v>
      </c>
      <c r="E55" t="s">
        <v>23</v>
      </c>
      <c r="G55" t="e">
        <f>VLOOKUP(F55,Produtos!A:B,2,FALSE)</f>
        <v>#N/A</v>
      </c>
      <c r="H55" t="s">
        <v>499</v>
      </c>
      <c r="I5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5" s="9" t="str">
        <f>VLOOKUP(Table1[[#This Row],[Área avaliada]],Endereços!A:B,2,0)</f>
        <v>Área Azul</v>
      </c>
    </row>
    <row r="56" spans="1:11" x14ac:dyDescent="0.3">
      <c r="A56">
        <v>55</v>
      </c>
      <c r="B56" s="1">
        <v>45786.346111111103</v>
      </c>
      <c r="C56" s="1">
        <v>45786.346666666701</v>
      </c>
      <c r="D56" t="s">
        <v>17</v>
      </c>
      <c r="E56" t="s">
        <v>25</v>
      </c>
      <c r="G56" t="e">
        <f>VLOOKUP(F56,Produtos!A:B,2,FALSE)</f>
        <v>#N/A</v>
      </c>
      <c r="H56" t="s">
        <v>499</v>
      </c>
      <c r="I5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6" s="9" t="str">
        <f>VLOOKUP(Table1[[#This Row],[Área avaliada]],Endereços!A:B,2,0)</f>
        <v>Área Azul</v>
      </c>
    </row>
    <row r="57" spans="1:11" x14ac:dyDescent="0.3">
      <c r="A57">
        <v>56</v>
      </c>
      <c r="B57" s="1">
        <v>45786.349155092597</v>
      </c>
      <c r="C57" s="1">
        <v>45786.349768518499</v>
      </c>
      <c r="D57" t="s">
        <v>17</v>
      </c>
      <c r="E57" t="s">
        <v>23</v>
      </c>
      <c r="G57" t="e">
        <f>VLOOKUP(F57,Produtos!A:B,2,FALSE)</f>
        <v>#N/A</v>
      </c>
      <c r="H57" t="s">
        <v>499</v>
      </c>
      <c r="I5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7" s="9" t="str">
        <f>VLOOKUP(Table1[[#This Row],[Área avaliada]],Endereços!A:B,2,0)</f>
        <v>Área Azul</v>
      </c>
    </row>
    <row r="58" spans="1:11" x14ac:dyDescent="0.3">
      <c r="A58">
        <v>57</v>
      </c>
      <c r="B58" s="1">
        <v>45787.472199074102</v>
      </c>
      <c r="C58" s="1">
        <v>45787.473796296297</v>
      </c>
      <c r="D58" t="s">
        <v>7</v>
      </c>
      <c r="E58" t="s">
        <v>32</v>
      </c>
      <c r="G58" t="e">
        <f>VLOOKUP(F58,Produtos!A:B,2,FALSE)</f>
        <v>#N/A</v>
      </c>
      <c r="H58" t="s">
        <v>499</v>
      </c>
      <c r="I5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8" s="9" t="str">
        <f>VLOOKUP(Table1[[#This Row],[Área avaliada]],Endereços!A:B,2,0)</f>
        <v>Área Vermelho</v>
      </c>
      <c r="K58" t="str">
        <f>VLOOKUP(Table1[[#This Row],[Nome do avaliador ]],M:N,2,0)</f>
        <v>A</v>
      </c>
    </row>
    <row r="59" spans="1:11" x14ac:dyDescent="0.3">
      <c r="A59">
        <v>58</v>
      </c>
      <c r="B59" s="1">
        <v>45789.399479166699</v>
      </c>
      <c r="C59" s="1">
        <v>45789.400266203702</v>
      </c>
      <c r="D59" t="s">
        <v>17</v>
      </c>
      <c r="E59" t="s">
        <v>23</v>
      </c>
      <c r="F59" s="2">
        <v>9089</v>
      </c>
      <c r="G59" s="2" t="str">
        <f>VLOOKUP(F59,Produtos!A:B,2,FALSE)</f>
        <v>SUKITA LATA 350ML SH C/12 NPAL</v>
      </c>
      <c r="H59" s="6" t="s">
        <v>475</v>
      </c>
      <c r="I5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9" s="9" t="str">
        <f>VLOOKUP(Table1[[#This Row],[Área avaliada]],Endereços!A:B,2,0)</f>
        <v>Área Azul</v>
      </c>
    </row>
    <row r="60" spans="1:11" x14ac:dyDescent="0.3">
      <c r="A60">
        <v>59</v>
      </c>
      <c r="B60" s="1">
        <v>45789.401157407403</v>
      </c>
      <c r="C60" s="1">
        <v>45789.401851851799</v>
      </c>
      <c r="D60" t="s">
        <v>17</v>
      </c>
      <c r="E60" t="s">
        <v>23</v>
      </c>
      <c r="F60" s="2">
        <v>9087</v>
      </c>
      <c r="G60" s="2" t="str">
        <f>VLOOKUP(F60,Produtos!A:B,2,FALSE)</f>
        <v>SODA LIMONADA ANTAR LT350ML SH C/12 NPAL</v>
      </c>
      <c r="H60" t="s">
        <v>475</v>
      </c>
      <c r="I6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0" s="9" t="str">
        <f>VLOOKUP(Table1[[#This Row],[Área avaliada]],Endereços!A:B,2,0)</f>
        <v>Área Azul</v>
      </c>
    </row>
    <row r="61" spans="1:11" x14ac:dyDescent="0.3">
      <c r="A61">
        <v>60</v>
      </c>
      <c r="B61" s="1">
        <v>45789.402407407397</v>
      </c>
      <c r="C61" s="1">
        <v>45789.402870370403</v>
      </c>
      <c r="D61" t="s">
        <v>17</v>
      </c>
      <c r="E61" t="s">
        <v>23</v>
      </c>
      <c r="F61" s="2">
        <v>20651</v>
      </c>
      <c r="G61" s="2" t="str">
        <f>VLOOKUP(F61,Produtos!A:B,2,FALSE)</f>
        <v>CORONA N LT SLEEK 350ML CX 8</v>
      </c>
      <c r="H61" t="s">
        <v>475</v>
      </c>
      <c r="I6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1" s="9" t="str">
        <f>VLOOKUP(Table1[[#This Row],[Área avaliada]],Endereços!A:B,2,0)</f>
        <v>Área Azul</v>
      </c>
    </row>
    <row r="62" spans="1:11" x14ac:dyDescent="0.3">
      <c r="A62">
        <v>61</v>
      </c>
      <c r="B62" s="1">
        <v>45789.404340277797</v>
      </c>
      <c r="C62" s="1">
        <v>45789.404999999999</v>
      </c>
      <c r="D62" t="s">
        <v>17</v>
      </c>
      <c r="E62" t="s">
        <v>23</v>
      </c>
      <c r="F62" s="2">
        <v>17808</v>
      </c>
      <c r="G62" s="2" t="str">
        <f>VLOOKUP(F62,Produtos!A:B,2,FALSE)</f>
        <v>BUDWEISER OW 330ML CX C 24</v>
      </c>
      <c r="H62" t="s">
        <v>475</v>
      </c>
      <c r="I6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2" s="9" t="str">
        <f>VLOOKUP(Table1[[#This Row],[Área avaliada]],Endereços!A:B,2,0)</f>
        <v>Área Azul</v>
      </c>
    </row>
    <row r="63" spans="1:11" x14ac:dyDescent="0.3">
      <c r="A63">
        <v>62</v>
      </c>
      <c r="B63" s="1">
        <v>45789.406284722201</v>
      </c>
      <c r="C63" s="1">
        <v>45789.406875000001</v>
      </c>
      <c r="D63" t="s">
        <v>17</v>
      </c>
      <c r="E63" t="s">
        <v>23</v>
      </c>
      <c r="F63" s="2">
        <v>20498</v>
      </c>
      <c r="G63" s="2" t="str">
        <f>VLOOKUP(F63,Produtos!A:B,2,FALSE)</f>
        <v>BRAHMA DUPLO MALTE LT SLEEK 350ML SH C12</v>
      </c>
      <c r="H63" t="s">
        <v>475</v>
      </c>
      <c r="I6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3" s="9" t="str">
        <f>VLOOKUP(Table1[[#This Row],[Área avaliada]],Endereços!A:B,2,0)</f>
        <v>Área Azul</v>
      </c>
    </row>
    <row r="64" spans="1:11" x14ac:dyDescent="0.3">
      <c r="A64">
        <v>63</v>
      </c>
      <c r="B64" s="1">
        <v>45789.647777777798</v>
      </c>
      <c r="C64" s="1">
        <v>45789.654606481497</v>
      </c>
      <c r="D64" t="s">
        <v>31</v>
      </c>
      <c r="E64" t="s">
        <v>14</v>
      </c>
      <c r="G64" t="e">
        <f>VLOOKUP(F64,Produtos!A:B,2,FALSE)</f>
        <v>#N/A</v>
      </c>
      <c r="H64" t="s">
        <v>475</v>
      </c>
      <c r="I6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4" s="9" t="str">
        <f>VLOOKUP(Table1[[#This Row],[Área avaliada]],Endereços!A:B,2,0)</f>
        <v>Picking Baixo Giro</v>
      </c>
      <c r="K64" t="str">
        <f>VLOOKUP(Table1[[#This Row],[Nome do avaliador ]],M:N,2,0)</f>
        <v>B</v>
      </c>
    </row>
    <row r="65" spans="1:11" x14ac:dyDescent="0.3">
      <c r="A65">
        <v>64</v>
      </c>
      <c r="B65" s="1">
        <v>45790.390347222201</v>
      </c>
      <c r="C65" s="1">
        <v>45790.394618055601</v>
      </c>
      <c r="D65" t="s">
        <v>19</v>
      </c>
      <c r="E65" t="s">
        <v>23</v>
      </c>
      <c r="F65" s="2">
        <v>2353</v>
      </c>
      <c r="G65" s="2" t="str">
        <f>VLOOKUP(F65,Produtos!A:B,2,FALSE)</f>
        <v>GUARANA CHP ANTARCTICA DIET PET 2L CXC/6</v>
      </c>
      <c r="H65" t="s">
        <v>482</v>
      </c>
      <c r="I6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5" s="9" t="str">
        <f>VLOOKUP(Table1[[#This Row],[Área avaliada]],Endereços!A:B,2,0)</f>
        <v>Área Azul</v>
      </c>
      <c r="K65" t="str">
        <f>VLOOKUP(Table1[[#This Row],[Nome do avaliador ]],M:N,2,0)</f>
        <v>A</v>
      </c>
    </row>
    <row r="66" spans="1:11" x14ac:dyDescent="0.3">
      <c r="A66">
        <v>65</v>
      </c>
      <c r="B66" s="1">
        <v>45790.398275462998</v>
      </c>
      <c r="C66" s="1">
        <v>45790.400069444397</v>
      </c>
      <c r="D66" t="s">
        <v>19</v>
      </c>
      <c r="E66" t="s">
        <v>23</v>
      </c>
      <c r="G66" t="e">
        <f>VLOOKUP(F66,Produtos!A:B,2,FALSE)</f>
        <v>#N/A</v>
      </c>
      <c r="H66" t="s">
        <v>482</v>
      </c>
      <c r="I6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6" s="9" t="str">
        <f>VLOOKUP(Table1[[#This Row],[Área avaliada]],Endereços!A:B,2,0)</f>
        <v>Área Azul</v>
      </c>
      <c r="K66" t="str">
        <f>VLOOKUP(Table1[[#This Row],[Nome do avaliador ]],M:N,2,0)</f>
        <v>A</v>
      </c>
    </row>
    <row r="67" spans="1:11" x14ac:dyDescent="0.3">
      <c r="A67">
        <v>66</v>
      </c>
      <c r="B67" s="1">
        <v>45790.401979166701</v>
      </c>
      <c r="C67" s="1">
        <v>45790.403993055603</v>
      </c>
      <c r="D67" t="s">
        <v>19</v>
      </c>
      <c r="E67" t="s">
        <v>23</v>
      </c>
      <c r="F67" s="2">
        <v>28137</v>
      </c>
      <c r="G67" s="2" t="str">
        <f>VLOOKUP(F67,Produtos!A:B,2,FALSE)</f>
        <v>SKOL BT CAIPIRINHA LT 269ML CX CA C/8 NP</v>
      </c>
      <c r="H67" t="s">
        <v>473</v>
      </c>
      <c r="I6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7" s="9" t="str">
        <f>VLOOKUP(Table1[[#This Row],[Área avaliada]],Endereços!A:B,2,0)</f>
        <v>Área Azul</v>
      </c>
      <c r="K67" t="str">
        <f>VLOOKUP(Table1[[#This Row],[Nome do avaliador ]],M:N,2,0)</f>
        <v>A</v>
      </c>
    </row>
    <row r="68" spans="1:11" x14ac:dyDescent="0.3">
      <c r="A68">
        <v>67</v>
      </c>
      <c r="B68" s="1">
        <v>45790.404155092598</v>
      </c>
      <c r="C68" s="1">
        <v>45790.405370370398</v>
      </c>
      <c r="D68" t="s">
        <v>19</v>
      </c>
      <c r="E68" t="s">
        <v>23</v>
      </c>
      <c r="F68" s="2">
        <v>33734</v>
      </c>
      <c r="G68" s="2" t="str">
        <f>VLOOKUP(F68,Produtos!A:B,2,FALSE)</f>
        <v>BEATS RED MIX LT 269ML SH C/8</v>
      </c>
      <c r="H68" t="s">
        <v>473</v>
      </c>
      <c r="I6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8" s="9" t="str">
        <f>VLOOKUP(Table1[[#This Row],[Área avaliada]],Endereços!A:B,2,0)</f>
        <v>Área Azul</v>
      </c>
      <c r="K68" t="str">
        <f>VLOOKUP(Table1[[#This Row],[Nome do avaliador ]],M:N,2,0)</f>
        <v>A</v>
      </c>
    </row>
    <row r="69" spans="1:11" x14ac:dyDescent="0.3">
      <c r="A69">
        <v>68</v>
      </c>
      <c r="B69" s="1">
        <v>45790.406620370399</v>
      </c>
      <c r="C69" s="1">
        <v>45790.408414351798</v>
      </c>
      <c r="D69" t="s">
        <v>19</v>
      </c>
      <c r="E69" t="s">
        <v>23</v>
      </c>
      <c r="F69" s="2">
        <v>22180</v>
      </c>
      <c r="G69" s="2" t="str">
        <f>VLOOKUP(F69,Produtos!A:B,2,FALSE)</f>
        <v>BUDWEISER ZERO LN 330ML SIX-PACK SH C/4</v>
      </c>
      <c r="H69" t="s">
        <v>482</v>
      </c>
      <c r="I6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9" s="9" t="str">
        <f>VLOOKUP(Table1[[#This Row],[Área avaliada]],Endereços!A:B,2,0)</f>
        <v>Área Azul</v>
      </c>
      <c r="K69" t="str">
        <f>VLOOKUP(Table1[[#This Row],[Nome do avaliador ]],M:N,2,0)</f>
        <v>A</v>
      </c>
    </row>
    <row r="70" spans="1:11" x14ac:dyDescent="0.3">
      <c r="A70">
        <v>69</v>
      </c>
      <c r="B70" s="1">
        <v>45791.605937499997</v>
      </c>
      <c r="C70" s="1">
        <v>45791.607314814799</v>
      </c>
      <c r="D70" t="s">
        <v>17</v>
      </c>
      <c r="E70" t="s">
        <v>23</v>
      </c>
      <c r="F70" s="2">
        <v>9274</v>
      </c>
      <c r="G70" s="2" t="str">
        <f>VLOOKUP(F70,Produtos!A:B,2,FALSE)</f>
        <v>PEPSI ZERO LATA 350ML SH C/12 NPAL</v>
      </c>
      <c r="H70" t="s">
        <v>475</v>
      </c>
      <c r="I7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0" s="9" t="str">
        <f>VLOOKUP(Table1[[#This Row],[Área avaliada]],Endereços!A:B,2,0)</f>
        <v>Área Azul</v>
      </c>
      <c r="K70" t="s">
        <v>511</v>
      </c>
    </row>
    <row r="71" spans="1:11" x14ac:dyDescent="0.3">
      <c r="A71">
        <v>70</v>
      </c>
      <c r="B71" s="1">
        <v>45791.613715277803</v>
      </c>
      <c r="C71" s="1">
        <v>45791.614861111098</v>
      </c>
      <c r="D71" t="s">
        <v>17</v>
      </c>
      <c r="E71" t="s">
        <v>23</v>
      </c>
      <c r="F71" s="2">
        <v>14135</v>
      </c>
      <c r="G71" s="2" t="str">
        <f>VLOOKUP(F71,Produtos!A:B,2,FALSE)</f>
        <v>BUDWEISER LT 473ML SIX-PACK SH C/2 NPAL</v>
      </c>
      <c r="H71" t="s">
        <v>475</v>
      </c>
      <c r="I7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1" s="9" t="str">
        <f>VLOOKUP(Table1[[#This Row],[Área avaliada]],Endereços!A:B,2,0)</f>
        <v>Área Azul</v>
      </c>
      <c r="K71" t="s">
        <v>511</v>
      </c>
    </row>
    <row r="72" spans="1:11" x14ac:dyDescent="0.3">
      <c r="A72">
        <v>71</v>
      </c>
      <c r="B72" s="1">
        <v>45794.252708333297</v>
      </c>
      <c r="C72" s="1">
        <v>45794.253402777802</v>
      </c>
      <c r="D72" t="s">
        <v>17</v>
      </c>
      <c r="E72" t="s">
        <v>25</v>
      </c>
      <c r="F72" s="2">
        <v>9084</v>
      </c>
      <c r="G72" s="2" t="str">
        <f>VLOOKUP(F72,Produtos!A:B,2,FALSE)</f>
        <v>GUARANA CHP ANTARCT LT350ML SH C/12 NPAL</v>
      </c>
      <c r="H72" t="s">
        <v>475</v>
      </c>
      <c r="I7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2" s="9" t="str">
        <f>VLOOKUP(Table1[[#This Row],[Área avaliada]],Endereços!A:B,2,0)</f>
        <v>Área Azul</v>
      </c>
      <c r="K72" t="s">
        <v>511</v>
      </c>
    </row>
    <row r="73" spans="1:11" x14ac:dyDescent="0.3">
      <c r="A73">
        <v>72</v>
      </c>
      <c r="B73" s="1">
        <v>45794.254409722198</v>
      </c>
      <c r="C73" s="1">
        <v>45794.255011574103</v>
      </c>
      <c r="D73" t="s">
        <v>17</v>
      </c>
      <c r="E73" t="s">
        <v>23</v>
      </c>
      <c r="F73" s="2">
        <v>14135</v>
      </c>
      <c r="G73" s="2" t="str">
        <f>VLOOKUP(F73,Produtos!A:B,2,FALSE)</f>
        <v>BUDWEISER LT 473ML SIX-PACK SH C/2 NPAL</v>
      </c>
      <c r="H73" t="s">
        <v>475</v>
      </c>
      <c r="I7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3" s="9" t="str">
        <f>VLOOKUP(Table1[[#This Row],[Área avaliada]],Endereços!A:B,2,0)</f>
        <v>Área Azul</v>
      </c>
      <c r="K73" t="s">
        <v>511</v>
      </c>
    </row>
    <row r="74" spans="1:11" x14ac:dyDescent="0.3">
      <c r="A74">
        <v>73</v>
      </c>
      <c r="B74" s="1">
        <v>45794.258159722202</v>
      </c>
      <c r="C74" s="1">
        <v>45794.258726851796</v>
      </c>
      <c r="D74" t="s">
        <v>17</v>
      </c>
      <c r="E74" t="s">
        <v>23</v>
      </c>
      <c r="F74" s="2">
        <v>20498</v>
      </c>
      <c r="G74" s="2" t="str">
        <f>VLOOKUP(F74,Produtos!A:B,2,FALSE)</f>
        <v>BRAHMA DUPLO MALTE LT SLEEK 350ML SH C12</v>
      </c>
      <c r="H74" t="s">
        <v>475</v>
      </c>
      <c r="I7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4" s="9" t="str">
        <f>VLOOKUP(Table1[[#This Row],[Área avaliada]],Endereços!A:B,2,0)</f>
        <v>Área Azul</v>
      </c>
      <c r="K74" t="s">
        <v>511</v>
      </c>
    </row>
    <row r="75" spans="1:11" x14ac:dyDescent="0.3">
      <c r="A75">
        <v>74</v>
      </c>
      <c r="B75" s="1">
        <v>45794.259409722203</v>
      </c>
      <c r="C75" s="1">
        <v>45794.259907407402</v>
      </c>
      <c r="D75" t="s">
        <v>17</v>
      </c>
      <c r="E75" t="s">
        <v>23</v>
      </c>
      <c r="F75" s="2">
        <v>17808</v>
      </c>
      <c r="G75" s="2" t="str">
        <f>VLOOKUP(F75,Produtos!A:B,2,FALSE)</f>
        <v>BUDWEISER OW 330ML CX C 24</v>
      </c>
      <c r="H75" t="s">
        <v>475</v>
      </c>
      <c r="I7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5" s="9" t="str">
        <f>VLOOKUP(Table1[[#This Row],[Área avaliada]],Endereços!A:B,2,0)</f>
        <v>Área Azul</v>
      </c>
      <c r="K75" t="s">
        <v>511</v>
      </c>
    </row>
    <row r="76" spans="1:11" x14ac:dyDescent="0.3">
      <c r="A76">
        <v>75</v>
      </c>
      <c r="B76" s="1">
        <v>45794.447118055599</v>
      </c>
      <c r="C76" s="1">
        <v>45794.448078703703</v>
      </c>
      <c r="D76" t="s">
        <v>7</v>
      </c>
      <c r="E76" t="s">
        <v>32</v>
      </c>
      <c r="G76" t="e">
        <f>VLOOKUP(F76,Produtos!A:B,2,FALSE)</f>
        <v>#N/A</v>
      </c>
      <c r="I7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6" s="9" t="str">
        <f>VLOOKUP(Table1[[#This Row],[Área avaliada]],Endereços!A:B,2,0)</f>
        <v>Área Vermelho</v>
      </c>
      <c r="K76" t="str">
        <f>VLOOKUP(Table1[[#This Row],[Nome do avaliador ]],M:N,2,0)</f>
        <v>A</v>
      </c>
    </row>
    <row r="77" spans="1:11" x14ac:dyDescent="0.3">
      <c r="A77">
        <v>76</v>
      </c>
      <c r="B77" s="1">
        <v>45794.609201388899</v>
      </c>
      <c r="C77" s="1">
        <v>45794.612766203703</v>
      </c>
      <c r="D77" t="s">
        <v>31</v>
      </c>
      <c r="E77" t="s">
        <v>18</v>
      </c>
      <c r="G77" t="e">
        <f>VLOOKUP(F77,Produtos!A:B,2,FALSE)</f>
        <v>#N/A</v>
      </c>
      <c r="H77" t="s">
        <v>477</v>
      </c>
      <c r="I7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7" s="9" t="str">
        <f>VLOOKUP(Table1[[#This Row],[Área avaliada]],Endereços!A:B,2,0)</f>
        <v>Área Vermelho</v>
      </c>
      <c r="K77" t="str">
        <f>VLOOKUP(Table1[[#This Row],[Nome do avaliador ]],M:N,2,0)</f>
        <v>B</v>
      </c>
    </row>
    <row r="78" spans="1:11" x14ac:dyDescent="0.3">
      <c r="A78">
        <v>77</v>
      </c>
      <c r="B78" s="1">
        <v>45797.381006944401</v>
      </c>
      <c r="C78" s="1">
        <v>45797.381770833301</v>
      </c>
      <c r="D78" t="s">
        <v>17</v>
      </c>
      <c r="E78" t="s">
        <v>23</v>
      </c>
      <c r="F78" s="2">
        <v>7982</v>
      </c>
      <c r="G78" s="2" t="str">
        <f>VLOOKUP(F78,Produtos!A:B,2,FALSE)</f>
        <v>GATORADE LIMAO PET 500ML SIX PACK</v>
      </c>
      <c r="H78" t="s">
        <v>476</v>
      </c>
      <c r="I7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8" s="9" t="str">
        <f>VLOOKUP(Table1[[#This Row],[Área avaliada]],Endereços!A:B,2,0)</f>
        <v>Área Azul</v>
      </c>
      <c r="K78" t="s">
        <v>511</v>
      </c>
    </row>
    <row r="79" spans="1:11" x14ac:dyDescent="0.3">
      <c r="A79">
        <v>78</v>
      </c>
      <c r="B79" s="1">
        <v>45797.385787036997</v>
      </c>
      <c r="C79" s="1">
        <v>45797.386458333298</v>
      </c>
      <c r="D79" t="s">
        <v>17</v>
      </c>
      <c r="E79" t="s">
        <v>23</v>
      </c>
      <c r="F79" s="2">
        <v>17808</v>
      </c>
      <c r="G79" s="2" t="str">
        <f>VLOOKUP(F79,Produtos!A:B,2,FALSE)</f>
        <v>BUDWEISER OW 330ML CX C 24</v>
      </c>
      <c r="H79" t="s">
        <v>475</v>
      </c>
      <c r="I7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9" s="9" t="str">
        <f>VLOOKUP(Table1[[#This Row],[Área avaliada]],Endereços!A:B,2,0)</f>
        <v>Área Azul</v>
      </c>
      <c r="K79" t="s">
        <v>511</v>
      </c>
    </row>
    <row r="80" spans="1:11" x14ac:dyDescent="0.3">
      <c r="A80">
        <v>79</v>
      </c>
      <c r="B80" s="1">
        <v>45798.4075115741</v>
      </c>
      <c r="C80" s="1">
        <v>45798.408437500002</v>
      </c>
      <c r="D80" t="s">
        <v>17</v>
      </c>
      <c r="E80" t="s">
        <v>23</v>
      </c>
      <c r="F80" s="2">
        <v>32500</v>
      </c>
      <c r="G80" s="2" t="str">
        <f>VLOOKUP(F80,Produtos!A:B,2,FALSE)</f>
        <v>STELLA ART PUR GOLD LT SL 350ML C8 CX CT</v>
      </c>
      <c r="H80" t="s">
        <v>475</v>
      </c>
      <c r="I8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0" s="9" t="str">
        <f>VLOOKUP(Table1[[#This Row],[Área avaliada]],Endereços!A:B,2,0)</f>
        <v>Área Azul</v>
      </c>
      <c r="K80" t="s">
        <v>511</v>
      </c>
    </row>
    <row r="81" spans="1:14" x14ac:dyDescent="0.3">
      <c r="A81">
        <v>80</v>
      </c>
      <c r="B81" s="1">
        <v>45798.410648148099</v>
      </c>
      <c r="C81" s="1">
        <v>45798.411354166703</v>
      </c>
      <c r="D81" t="s">
        <v>17</v>
      </c>
      <c r="E81" t="s">
        <v>23</v>
      </c>
      <c r="F81" s="2">
        <v>9089</v>
      </c>
      <c r="G81" s="2" t="str">
        <f>VLOOKUP(F81,Produtos!A:B,2,FALSE)</f>
        <v>SUKITA LATA 350ML SH C/12 NPAL</v>
      </c>
      <c r="H81" t="s">
        <v>475</v>
      </c>
      <c r="I8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1" s="9" t="str">
        <f>VLOOKUP(Table1[[#This Row],[Área avaliada]],Endereços!A:B,2,0)</f>
        <v>Área Azul</v>
      </c>
      <c r="K81" t="s">
        <v>511</v>
      </c>
    </row>
    <row r="82" spans="1:14" x14ac:dyDescent="0.3">
      <c r="A82">
        <v>81</v>
      </c>
      <c r="B82" s="1">
        <v>45798.413171296299</v>
      </c>
      <c r="C82" s="1">
        <v>45798.413761574098</v>
      </c>
      <c r="D82" t="s">
        <v>17</v>
      </c>
      <c r="E82" t="s">
        <v>23</v>
      </c>
      <c r="F82" s="2">
        <v>2354</v>
      </c>
      <c r="G82" s="2" t="str">
        <f>VLOOKUP(F82,Produtos!A:B,2,FALSE)</f>
        <v>SODA LIMONADA ANTARCT DIET PET 2L CX C/6</v>
      </c>
      <c r="H82" t="s">
        <v>475</v>
      </c>
      <c r="I8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2" s="9" t="str">
        <f>VLOOKUP(Table1[[#This Row],[Área avaliada]],Endereços!A:B,2,0)</f>
        <v>Área Azul</v>
      </c>
      <c r="K82" t="s">
        <v>511</v>
      </c>
    </row>
    <row r="83" spans="1:14" x14ac:dyDescent="0.3">
      <c r="A83">
        <v>82</v>
      </c>
      <c r="B83" s="1">
        <v>45798.417245370401</v>
      </c>
      <c r="C83" s="1">
        <v>45798.418923611098</v>
      </c>
      <c r="D83" t="s">
        <v>19</v>
      </c>
      <c r="E83" t="s">
        <v>20</v>
      </c>
      <c r="F83" s="2">
        <v>9067</v>
      </c>
      <c r="G83" s="2" t="str">
        <f>VLOOKUP(F83,Produtos!A:B,2,FALSE)</f>
        <v>ANTARCTICA PILSEN LATA 350ML SH C/12 NPA</v>
      </c>
      <c r="H83" t="s">
        <v>473</v>
      </c>
      <c r="I8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3" s="9" t="str">
        <f>VLOOKUP(Table1[[#This Row],[Área avaliada]],Endereços!A:B,2,0)</f>
        <v>Área Azul</v>
      </c>
      <c r="K83" t="str">
        <f>VLOOKUP(Table1[[#This Row],[Nome do avaliador ]],M:N,2,0)</f>
        <v>A</v>
      </c>
    </row>
    <row r="84" spans="1:14" x14ac:dyDescent="0.3">
      <c r="A84">
        <v>83</v>
      </c>
      <c r="B84" s="1">
        <v>45798.422002314801</v>
      </c>
      <c r="C84" s="1">
        <v>45798.423055555599</v>
      </c>
      <c r="D84" t="s">
        <v>19</v>
      </c>
      <c r="E84" t="s">
        <v>23</v>
      </c>
      <c r="F84" s="2">
        <v>9069</v>
      </c>
      <c r="G84" s="2" t="str">
        <f>VLOOKUP(F84,Produtos!A:B,2,FALSE)</f>
        <v>BRAHMA CHOPP LATA 350ML SH C/12 NPAL</v>
      </c>
      <c r="H84" t="s">
        <v>473</v>
      </c>
      <c r="I8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4" s="9" t="str">
        <f>VLOOKUP(Table1[[#This Row],[Área avaliada]],Endereços!A:B,2,0)</f>
        <v>Área Azul</v>
      </c>
      <c r="K84" t="str">
        <f>VLOOKUP(Table1[[#This Row],[Nome do avaliador ]],M:N,2,0)</f>
        <v>A</v>
      </c>
    </row>
    <row r="85" spans="1:14" x14ac:dyDescent="0.3">
      <c r="A85">
        <v>84</v>
      </c>
      <c r="B85" s="1">
        <v>45798.721990740698</v>
      </c>
      <c r="C85" s="1">
        <v>45798.733749999999</v>
      </c>
      <c r="D85" t="s">
        <v>31</v>
      </c>
      <c r="E85" t="s">
        <v>14</v>
      </c>
      <c r="F85" s="2">
        <v>371</v>
      </c>
      <c r="G85" s="2" t="str">
        <f>VLOOKUP(F85,Produtos!A:B,2,FALSE)</f>
        <v>MALZBIER BRAHMA LN355ML SIX PAC BAND C/4</v>
      </c>
      <c r="H85" t="s">
        <v>474</v>
      </c>
      <c r="I8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5" s="9" t="str">
        <f>VLOOKUP(Table1[[#This Row],[Área avaliada]],Endereços!A:B,2,0)</f>
        <v>Picking Baixo Giro</v>
      </c>
      <c r="K85" t="str">
        <f>VLOOKUP(Table1[[#This Row],[Nome do avaliador ]],M:N,2,0)</f>
        <v>B</v>
      </c>
    </row>
    <row r="86" spans="1:14" x14ac:dyDescent="0.3">
      <c r="A86">
        <v>85</v>
      </c>
      <c r="B86" s="1">
        <v>45800.345115740703</v>
      </c>
      <c r="C86" s="1">
        <v>45800.346597222197</v>
      </c>
      <c r="D86" t="s">
        <v>19</v>
      </c>
      <c r="E86" t="s">
        <v>23</v>
      </c>
      <c r="F86" s="2">
        <v>22200</v>
      </c>
      <c r="G86" s="2" t="str">
        <f>VLOOKUP(F86,Produtos!A:B,2,FALSE)</f>
        <v>TONICA ANTARCTICA PET1LSH C/06</v>
      </c>
      <c r="H86" t="s">
        <v>473</v>
      </c>
      <c r="I8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6" s="9" t="str">
        <f>VLOOKUP(Table1[[#This Row],[Área avaliada]],Endereços!A:B,2,0)</f>
        <v>Área Azul</v>
      </c>
      <c r="K86" t="str">
        <f>VLOOKUP(Table1[[#This Row],[Nome do avaliador ]],M:N,2,0)</f>
        <v>A</v>
      </c>
    </row>
    <row r="87" spans="1:14" x14ac:dyDescent="0.3">
      <c r="A87">
        <v>86</v>
      </c>
      <c r="B87" s="1">
        <v>45800.347604166702</v>
      </c>
      <c r="C87" s="1">
        <v>45800.348159722198</v>
      </c>
      <c r="D87" t="s">
        <v>17</v>
      </c>
      <c r="E87" t="s">
        <v>25</v>
      </c>
      <c r="F87" s="2">
        <v>9081</v>
      </c>
      <c r="G87" s="2" t="str">
        <f>VLOOKUP(F87,Produtos!A:B,2,FALSE)</f>
        <v>MALZBIER BRAHMA LATA 350ML SH C/12 NPAL</v>
      </c>
      <c r="H87" t="s">
        <v>475</v>
      </c>
      <c r="I8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7" s="9" t="str">
        <f>VLOOKUP(Table1[[#This Row],[Área avaliada]],Endereços!A:B,2,0)</f>
        <v>Área Azul</v>
      </c>
      <c r="K87" t="s">
        <v>511</v>
      </c>
    </row>
    <row r="88" spans="1:14" x14ac:dyDescent="0.3">
      <c r="A88">
        <v>87</v>
      </c>
      <c r="B88" s="1">
        <v>45800.347256944398</v>
      </c>
      <c r="C88" s="1">
        <v>45800.348159722198</v>
      </c>
      <c r="D88" t="s">
        <v>19</v>
      </c>
      <c r="E88" t="s">
        <v>23</v>
      </c>
      <c r="F88" s="2">
        <v>18137</v>
      </c>
      <c r="G88" s="2" t="str">
        <f>VLOOKUP(F88,Produtos!A:B,2,FALSE)</f>
        <v>GUARANA CHP ANTARCTICA PET 3L C4 SH LISO</v>
      </c>
      <c r="H88" t="s">
        <v>474</v>
      </c>
      <c r="I8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8" s="9" t="str">
        <f>VLOOKUP(Table1[[#This Row],[Área avaliada]],Endereços!A:B,2,0)</f>
        <v>Área Azul</v>
      </c>
      <c r="K88" t="str">
        <f>VLOOKUP(Table1[[#This Row],[Nome do avaliador ]],M:N,2,0)</f>
        <v>A</v>
      </c>
      <c r="N88" s="10"/>
    </row>
    <row r="89" spans="1:14" x14ac:dyDescent="0.3">
      <c r="A89">
        <v>88</v>
      </c>
      <c r="B89" s="1">
        <v>45800.349363425899</v>
      </c>
      <c r="C89" s="1">
        <v>45800.349907407399</v>
      </c>
      <c r="D89" t="s">
        <v>17</v>
      </c>
      <c r="E89" t="s">
        <v>23</v>
      </c>
      <c r="F89" s="2">
        <v>17725</v>
      </c>
      <c r="G89" s="2" t="str">
        <f>VLOOKUP(F89,Produtos!A:B,2,FALSE)</f>
        <v>ANTARCTICA PILSEN LT 350ML SH C/18 MULTP</v>
      </c>
      <c r="H89" t="s">
        <v>475</v>
      </c>
      <c r="I8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9" s="9" t="str">
        <f>VLOOKUP(Table1[[#This Row],[Área avaliada]],Endereços!A:B,2,0)</f>
        <v>Área Azul</v>
      </c>
      <c r="K89" t="s">
        <v>511</v>
      </c>
      <c r="N89" s="10"/>
    </row>
    <row r="90" spans="1:14" x14ac:dyDescent="0.3">
      <c r="A90">
        <v>89</v>
      </c>
      <c r="B90" s="1">
        <v>45800.351388888899</v>
      </c>
      <c r="C90" s="1">
        <v>45800.352048611101</v>
      </c>
      <c r="D90" t="s">
        <v>17</v>
      </c>
      <c r="E90" t="s">
        <v>20</v>
      </c>
      <c r="F90" s="2">
        <v>9091</v>
      </c>
      <c r="G90" s="2" t="str">
        <f>VLOOKUP(F90,Produtos!A:B,2,FALSE)</f>
        <v>TONICA ANTARCTICA LT 350ML SH C/12 NPAL</v>
      </c>
      <c r="H90" t="s">
        <v>475</v>
      </c>
      <c r="I9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0" s="9" t="str">
        <f>VLOOKUP(Table1[[#This Row],[Área avaliada]],Endereços!A:B,2,0)</f>
        <v>Área Azul</v>
      </c>
      <c r="K90" t="s">
        <v>511</v>
      </c>
    </row>
    <row r="91" spans="1:14" x14ac:dyDescent="0.3">
      <c r="A91">
        <v>90</v>
      </c>
      <c r="B91" s="1">
        <v>45800.353379629603</v>
      </c>
      <c r="C91" s="1">
        <v>45800.354699074102</v>
      </c>
      <c r="D91" t="s">
        <v>19</v>
      </c>
      <c r="E91" t="s">
        <v>23</v>
      </c>
      <c r="F91" s="2">
        <v>9069</v>
      </c>
      <c r="G91" s="2" t="str">
        <f>VLOOKUP(F91,Produtos!A:B,2,FALSE)</f>
        <v>BRAHMA CHOPP LATA 350ML SH C/12 NPAL</v>
      </c>
      <c r="H91" t="s">
        <v>473</v>
      </c>
      <c r="I9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1" s="9" t="str">
        <f>VLOOKUP(Table1[[#This Row],[Área avaliada]],Endereços!A:B,2,0)</f>
        <v>Área Azul</v>
      </c>
      <c r="K91" t="str">
        <f>VLOOKUP(Table1[[#This Row],[Nome do avaliador ]],M:N,2,0)</f>
        <v>A</v>
      </c>
    </row>
    <row r="92" spans="1:14" x14ac:dyDescent="0.3">
      <c r="A92">
        <v>91</v>
      </c>
      <c r="B92" s="1">
        <v>45800.355462963002</v>
      </c>
      <c r="C92" s="1">
        <v>45800.356111111098</v>
      </c>
      <c r="D92" t="s">
        <v>17</v>
      </c>
      <c r="E92" t="s">
        <v>20</v>
      </c>
      <c r="F92" s="2">
        <v>19225</v>
      </c>
      <c r="G92" s="2" t="str">
        <f>VLOOKUP(F92,Produtos!A:B,2,FALSE)</f>
        <v>RED BULL BR LATA 250ML CAIXA C/24</v>
      </c>
      <c r="H92" t="s">
        <v>475</v>
      </c>
      <c r="I9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2" s="9" t="str">
        <f>VLOOKUP(Table1[[#This Row],[Área avaliada]],Endereços!A:B,2,0)</f>
        <v>Área Azul</v>
      </c>
      <c r="K92" t="s">
        <v>511</v>
      </c>
    </row>
    <row r="93" spans="1:14" x14ac:dyDescent="0.3">
      <c r="A93">
        <v>92</v>
      </c>
      <c r="B93" s="1">
        <v>45800.356203703697</v>
      </c>
      <c r="C93" s="1">
        <v>45800.356828703698</v>
      </c>
      <c r="D93" t="s">
        <v>17</v>
      </c>
      <c r="E93" t="s">
        <v>20</v>
      </c>
      <c r="F93" s="2">
        <v>19225</v>
      </c>
      <c r="G93" s="2" t="str">
        <f>VLOOKUP(F93,Produtos!A:B,2,FALSE)</f>
        <v>RED BULL BR LATA 250ML CAIXA C/24</v>
      </c>
      <c r="H93" t="s">
        <v>475</v>
      </c>
      <c r="I9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3" s="9" t="str">
        <f>VLOOKUP(Table1[[#This Row],[Área avaliada]],Endereços!A:B,2,0)</f>
        <v>Área Azul</v>
      </c>
      <c r="K93" t="s">
        <v>511</v>
      </c>
    </row>
    <row r="94" spans="1:14" x14ac:dyDescent="0.3">
      <c r="A94">
        <v>93</v>
      </c>
      <c r="B94" s="1">
        <v>45800.358842592599</v>
      </c>
      <c r="C94" s="1">
        <v>45800.359849537002</v>
      </c>
      <c r="D94" t="s">
        <v>19</v>
      </c>
      <c r="E94" t="s">
        <v>20</v>
      </c>
      <c r="F94" s="2">
        <v>9084</v>
      </c>
      <c r="G94" s="2" t="str">
        <f>VLOOKUP(F94,Produtos!A:B,2,FALSE)</f>
        <v>GUARANA CHP ANTARCT LT350ML SH C/12 NPAL</v>
      </c>
      <c r="H94" t="s">
        <v>473</v>
      </c>
      <c r="I9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4" s="9" t="str">
        <f>VLOOKUP(Table1[[#This Row],[Área avaliada]],Endereços!A:B,2,0)</f>
        <v>Área Azul</v>
      </c>
      <c r="K94" t="str">
        <f>VLOOKUP(Table1[[#This Row],[Nome do avaliador ]],M:N,2,0)</f>
        <v>A</v>
      </c>
    </row>
    <row r="95" spans="1:14" x14ac:dyDescent="0.3">
      <c r="A95">
        <v>94</v>
      </c>
      <c r="B95" s="1">
        <v>45800.359560185199</v>
      </c>
      <c r="C95" s="1">
        <v>45800.360219907401</v>
      </c>
      <c r="D95" t="s">
        <v>17</v>
      </c>
      <c r="E95" t="s">
        <v>33</v>
      </c>
      <c r="F95" s="2">
        <v>34420</v>
      </c>
      <c r="G95" s="2" t="str">
        <f>VLOOKUP(F95,Produtos!A:B,2,FALSE)</f>
        <v>RED BULL SUM MARAC E MELAO LT 250ML FP</v>
      </c>
      <c r="H95" t="s">
        <v>475</v>
      </c>
      <c r="I9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5" s="9" t="str">
        <f>VLOOKUP(Table1[[#This Row],[Área avaliada]],Endereços!A:B,2,0)</f>
        <v>Área Verde</v>
      </c>
      <c r="K95" t="s">
        <v>511</v>
      </c>
    </row>
    <row r="96" spans="1:14" x14ac:dyDescent="0.3">
      <c r="A96">
        <v>95</v>
      </c>
      <c r="B96" s="1">
        <v>45800.363831018498</v>
      </c>
      <c r="C96" s="1">
        <v>45800.366886574098</v>
      </c>
      <c r="D96" t="s">
        <v>19</v>
      </c>
      <c r="E96" t="s">
        <v>33</v>
      </c>
      <c r="F96" s="2">
        <v>19310</v>
      </c>
      <c r="G96" s="2" t="str">
        <f>VLOOKUP(F96,Produtos!A:B,2,FALSE)</f>
        <v>ORIGINAL LATA 350ML CX CARTAO C/12 NPAL</v>
      </c>
      <c r="H96" t="s">
        <v>473</v>
      </c>
      <c r="I9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6" s="9" t="str">
        <f>VLOOKUP(Table1[[#This Row],[Área avaliada]],Endereços!A:B,2,0)</f>
        <v>Área Verde</v>
      </c>
      <c r="K96" t="str">
        <f>VLOOKUP(Table1[[#This Row],[Nome do avaliador ]],M:N,2,0)</f>
        <v>A</v>
      </c>
    </row>
    <row r="97" spans="1:11" x14ac:dyDescent="0.3">
      <c r="A97">
        <v>96</v>
      </c>
      <c r="B97" s="1">
        <v>45800.366944444402</v>
      </c>
      <c r="C97" s="1">
        <v>45800.3677314815</v>
      </c>
      <c r="D97" t="s">
        <v>19</v>
      </c>
      <c r="E97" t="s">
        <v>33</v>
      </c>
      <c r="F97" s="2">
        <v>19310</v>
      </c>
      <c r="G97" s="2" t="str">
        <f>VLOOKUP(F97,Produtos!A:B,2,FALSE)</f>
        <v>ORIGINAL LATA 350ML CX CARTAO C/12 NPAL</v>
      </c>
      <c r="H97" t="s">
        <v>482</v>
      </c>
      <c r="I9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7" s="9" t="str">
        <f>VLOOKUP(Table1[[#This Row],[Área avaliada]],Endereços!A:B,2,0)</f>
        <v>Área Verde</v>
      </c>
      <c r="K97" t="str">
        <f>VLOOKUP(Table1[[#This Row],[Nome do avaliador ]],M:N,2,0)</f>
        <v>A</v>
      </c>
    </row>
    <row r="98" spans="1:11" x14ac:dyDescent="0.3">
      <c r="A98">
        <v>97</v>
      </c>
      <c r="B98" s="1">
        <v>45800.650856481501</v>
      </c>
      <c r="C98" s="1">
        <v>45800.656180555598</v>
      </c>
      <c r="D98" t="s">
        <v>31</v>
      </c>
      <c r="E98" t="s">
        <v>18</v>
      </c>
      <c r="G98" t="e">
        <f>VLOOKUP(F98,Produtos!A:B,2,FALSE)</f>
        <v>#N/A</v>
      </c>
      <c r="I9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8" s="9" t="str">
        <f>VLOOKUP(Table1[[#This Row],[Área avaliada]],Endereços!A:B,2,0)</f>
        <v>Área Vermelho</v>
      </c>
      <c r="K98" t="str">
        <f>VLOOKUP(Table1[[#This Row],[Nome do avaliador ]],M:N,2,0)</f>
        <v>B</v>
      </c>
    </row>
    <row r="99" spans="1:11" x14ac:dyDescent="0.3">
      <c r="A99">
        <v>98</v>
      </c>
      <c r="B99" s="1">
        <v>45801.3890972222</v>
      </c>
      <c r="C99" s="1">
        <v>45801.389675925901</v>
      </c>
      <c r="D99" t="s">
        <v>17</v>
      </c>
      <c r="E99" t="s">
        <v>23</v>
      </c>
      <c r="F99" s="2">
        <v>9069</v>
      </c>
      <c r="G99" s="2" t="str">
        <f>VLOOKUP(F99,Produtos!A:B,2,FALSE)</f>
        <v>BRAHMA CHOPP LATA 350ML SH C/12 NPAL</v>
      </c>
      <c r="H99" t="s">
        <v>475</v>
      </c>
      <c r="I9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9" s="9" t="str">
        <f>VLOOKUP(Table1[[#This Row],[Área avaliada]],Endereços!A:B,2,0)</f>
        <v>Área Azul</v>
      </c>
      <c r="K99" t="s">
        <v>511</v>
      </c>
    </row>
    <row r="100" spans="1:11" x14ac:dyDescent="0.3">
      <c r="A100">
        <v>99</v>
      </c>
      <c r="B100" s="1">
        <v>45801.392905092602</v>
      </c>
      <c r="C100" s="1">
        <v>45801.393657407403</v>
      </c>
      <c r="D100" t="s">
        <v>17</v>
      </c>
      <c r="E100" t="s">
        <v>23</v>
      </c>
      <c r="F100" s="2">
        <v>17797</v>
      </c>
      <c r="G100" s="2" t="str">
        <f>VLOOKUP(F100,Produtos!A:B,2,FALSE)</f>
        <v>BRAHMA CHOPP LATA 350ML SH 18 MULTIPACK</v>
      </c>
      <c r="H100" t="s">
        <v>475</v>
      </c>
      <c r="I10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0" s="9" t="str">
        <f>VLOOKUP(Table1[[#This Row],[Área avaliada]],Endereços!A:B,2,0)</f>
        <v>Área Azul</v>
      </c>
      <c r="K100" t="s">
        <v>511</v>
      </c>
    </row>
    <row r="101" spans="1:11" x14ac:dyDescent="0.3">
      <c r="A101">
        <v>100</v>
      </c>
      <c r="B101" s="1">
        <v>45801.461875000001</v>
      </c>
      <c r="C101" s="1">
        <v>45801.463912036997</v>
      </c>
      <c r="D101" t="s">
        <v>7</v>
      </c>
      <c r="E101" t="s">
        <v>18</v>
      </c>
      <c r="G101" t="e">
        <f>VLOOKUP(F101,Produtos!A:B,2,FALSE)</f>
        <v>#N/A</v>
      </c>
      <c r="H101" t="s">
        <v>483</v>
      </c>
      <c r="I10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1" s="9" t="str">
        <f>VLOOKUP(Table1[[#This Row],[Área avaliada]],Endereços!A:B,2,0)</f>
        <v>Área Vermelho</v>
      </c>
      <c r="K101" t="str">
        <f>VLOOKUP(Table1[[#This Row],[Nome do avaliador ]],M:N,2,0)</f>
        <v>A</v>
      </c>
    </row>
    <row r="102" spans="1:11" x14ac:dyDescent="0.3">
      <c r="A102">
        <v>101</v>
      </c>
      <c r="B102" s="1">
        <v>45803.126064814802</v>
      </c>
      <c r="C102" s="1">
        <v>45803.1312384259</v>
      </c>
      <c r="D102" t="s">
        <v>27</v>
      </c>
      <c r="E102" t="s">
        <v>33</v>
      </c>
      <c r="F102" s="2">
        <v>17725</v>
      </c>
      <c r="G102" s="2" t="str">
        <f>VLOOKUP(F102,Produtos!A:B,2,FALSE)</f>
        <v>ANTARCTICA PILSEN LT 350ML SH C/18 MULTP</v>
      </c>
      <c r="H102" t="s">
        <v>475</v>
      </c>
      <c r="I10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2" s="9" t="str">
        <f>VLOOKUP(Table1[[#This Row],[Área avaliada]],Endereços!A:B,2,0)</f>
        <v>Área Verde</v>
      </c>
      <c r="K102" t="str">
        <f>VLOOKUP(Table1[[#This Row],[Nome do avaliador ]],M:N,2,0)</f>
        <v>C</v>
      </c>
    </row>
    <row r="103" spans="1:11" x14ac:dyDescent="0.3">
      <c r="A103">
        <v>102</v>
      </c>
      <c r="B103" s="1">
        <v>45803.387152777803</v>
      </c>
      <c r="C103" s="1">
        <v>45803.389270833301</v>
      </c>
      <c r="D103" t="s">
        <v>17</v>
      </c>
      <c r="E103" t="s">
        <v>23</v>
      </c>
      <c r="F103" s="2">
        <v>9085</v>
      </c>
      <c r="G103" s="2" t="str">
        <f>VLOOKUP(F103,Produtos!A:B,2,FALSE)</f>
        <v>GUARANA CHP ANTARCT DIET LT350ML SHC/12</v>
      </c>
      <c r="H103" t="s">
        <v>475</v>
      </c>
      <c r="I10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3" s="9" t="str">
        <f>VLOOKUP(Table1[[#This Row],[Área avaliada]],Endereços!A:B,2,0)</f>
        <v>Área Azul</v>
      </c>
      <c r="K103" t="s">
        <v>511</v>
      </c>
    </row>
    <row r="104" spans="1:11" x14ac:dyDescent="0.3">
      <c r="A104">
        <v>103</v>
      </c>
      <c r="B104" s="1">
        <v>45803.392673611103</v>
      </c>
      <c r="C104" s="1">
        <v>45803.393206018503</v>
      </c>
      <c r="D104" t="s">
        <v>17</v>
      </c>
      <c r="E104" t="s">
        <v>20</v>
      </c>
      <c r="F104" s="2">
        <v>9084</v>
      </c>
      <c r="G104" s="2" t="str">
        <f>VLOOKUP(F104,Produtos!A:B,2,FALSE)</f>
        <v>GUARANA CHP ANTARCT LT350ML SH C/12 NPAL</v>
      </c>
      <c r="H104" t="s">
        <v>475</v>
      </c>
      <c r="I10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4" s="9" t="str">
        <f>VLOOKUP(Table1[[#This Row],[Área avaliada]],Endereços!A:B,2,0)</f>
        <v>Área Azul</v>
      </c>
      <c r="K104" t="s">
        <v>511</v>
      </c>
    </row>
    <row r="105" spans="1:11" x14ac:dyDescent="0.3">
      <c r="A105">
        <v>104</v>
      </c>
      <c r="B105" s="1">
        <v>45803.393460648098</v>
      </c>
      <c r="C105" s="1">
        <v>45803.393969907404</v>
      </c>
      <c r="D105" t="s">
        <v>17</v>
      </c>
      <c r="E105" t="s">
        <v>20</v>
      </c>
      <c r="F105" s="2">
        <v>9067</v>
      </c>
      <c r="G105" s="2" t="str">
        <f>VLOOKUP(F105,Produtos!A:B,2,FALSE)</f>
        <v>ANTARCTICA PILSEN LATA 350ML SH C/12 NPA</v>
      </c>
      <c r="H105" t="s">
        <v>475</v>
      </c>
      <c r="I10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5" s="9" t="str">
        <f>VLOOKUP(Table1[[#This Row],[Área avaliada]],Endereços!A:B,2,0)</f>
        <v>Área Azul</v>
      </c>
      <c r="K105" t="s">
        <v>511</v>
      </c>
    </row>
    <row r="106" spans="1:11" x14ac:dyDescent="0.3">
      <c r="A106">
        <v>105</v>
      </c>
      <c r="B106" s="1">
        <v>45803.399027777799</v>
      </c>
      <c r="C106" s="1">
        <v>45803.400138888901</v>
      </c>
      <c r="D106" t="s">
        <v>19</v>
      </c>
      <c r="E106" t="s">
        <v>23</v>
      </c>
      <c r="F106" s="2">
        <v>32361</v>
      </c>
      <c r="G106" s="2" t="str">
        <f>VLOOKUP(F106,Produtos!A:B,2,FALSE)</f>
        <v>BEATS TROPICAL LN 269ML SIX-PACK SH C/4</v>
      </c>
      <c r="H106" t="s">
        <v>485</v>
      </c>
      <c r="I10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6" s="9" t="str">
        <f>VLOOKUP(Table1[[#This Row],[Área avaliada]],Endereços!A:B,2,0)</f>
        <v>Área Azul</v>
      </c>
      <c r="K106" t="str">
        <f>VLOOKUP(Table1[[#This Row],[Nome do avaliador ]],M:N,2,0)</f>
        <v>A</v>
      </c>
    </row>
    <row r="107" spans="1:11" x14ac:dyDescent="0.3">
      <c r="A107">
        <v>106</v>
      </c>
      <c r="B107" s="1">
        <v>45803.401759259301</v>
      </c>
      <c r="C107" s="1">
        <v>45803.403090277803</v>
      </c>
      <c r="D107" t="s">
        <v>19</v>
      </c>
      <c r="E107" t="s">
        <v>23</v>
      </c>
      <c r="F107" s="2">
        <v>9068</v>
      </c>
      <c r="G107" s="2" t="str">
        <f>VLOOKUP(F107,Produtos!A:B,2,FALSE)</f>
        <v>SKOL LATA 350ML SH C/12 NPAL</v>
      </c>
      <c r="H107" t="s">
        <v>473</v>
      </c>
      <c r="I10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7" s="9" t="str">
        <f>VLOOKUP(Table1[[#This Row],[Área avaliada]],Endereços!A:B,2,0)</f>
        <v>Área Azul</v>
      </c>
      <c r="K107" t="str">
        <f>VLOOKUP(Table1[[#This Row],[Nome do avaliador ]],M:N,2,0)</f>
        <v>A</v>
      </c>
    </row>
    <row r="108" spans="1:11" x14ac:dyDescent="0.3">
      <c r="A108">
        <v>107</v>
      </c>
      <c r="B108" s="1">
        <v>45803.404560185198</v>
      </c>
      <c r="C108" s="1">
        <v>45803.405624999999</v>
      </c>
      <c r="D108" t="s">
        <v>19</v>
      </c>
      <c r="E108" t="s">
        <v>23</v>
      </c>
      <c r="F108" s="2">
        <v>9320</v>
      </c>
      <c r="G108" s="2" t="str">
        <f>VLOOKUP(F108,Produtos!A:B,2,FALSE)</f>
        <v>BRAHMA CHOPP LT 473ML SH C/12 NPAL</v>
      </c>
      <c r="H108" t="s">
        <v>473</v>
      </c>
      <c r="I10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8" s="9" t="str">
        <f>VLOOKUP(Table1[[#This Row],[Área avaliada]],Endereços!A:B,2,0)</f>
        <v>Área Azul</v>
      </c>
      <c r="K108" t="str">
        <f>VLOOKUP(Table1[[#This Row],[Nome do avaliador ]],M:N,2,0)</f>
        <v>A</v>
      </c>
    </row>
    <row r="109" spans="1:11" x14ac:dyDescent="0.3">
      <c r="A109">
        <v>108</v>
      </c>
      <c r="B109" s="1">
        <v>45804.292395833298</v>
      </c>
      <c r="C109" s="1">
        <v>45804.293078703697</v>
      </c>
      <c r="D109" t="s">
        <v>19</v>
      </c>
      <c r="E109" t="s">
        <v>23</v>
      </c>
      <c r="F109" s="2">
        <v>17725</v>
      </c>
      <c r="G109" s="2" t="str">
        <f>VLOOKUP(F109,Produtos!A:B,2,FALSE)</f>
        <v>ANTARCTICA PILSEN LT 350ML SH C/18 MULTP</v>
      </c>
      <c r="H109" t="s">
        <v>473</v>
      </c>
      <c r="I10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9" s="9" t="str">
        <f>VLOOKUP(Table1[[#This Row],[Área avaliada]],Endereços!A:B,2,0)</f>
        <v>Área Azul</v>
      </c>
      <c r="K109" t="str">
        <f>VLOOKUP(Table1[[#This Row],[Nome do avaliador ]],M:N,2,0)</f>
        <v>A</v>
      </c>
    </row>
    <row r="110" spans="1:11" x14ac:dyDescent="0.3">
      <c r="A110">
        <v>109</v>
      </c>
      <c r="B110" s="1">
        <v>45804.390138888899</v>
      </c>
      <c r="C110" s="1">
        <v>45804.390706018501</v>
      </c>
      <c r="D110" t="s">
        <v>17</v>
      </c>
      <c r="E110" t="s">
        <v>23</v>
      </c>
      <c r="F110" s="2">
        <v>9081</v>
      </c>
      <c r="G110" s="2" t="str">
        <f>VLOOKUP(F110,Produtos!A:B,2,FALSE)</f>
        <v>MALZBIER BRAHMA LATA 350ML SH C/12 NPAL</v>
      </c>
      <c r="H110" t="s">
        <v>475</v>
      </c>
      <c r="I11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0" s="9" t="str">
        <f>VLOOKUP(Table1[[#This Row],[Área avaliada]],Endereços!A:B,2,0)</f>
        <v>Área Azul</v>
      </c>
      <c r="K110" t="s">
        <v>511</v>
      </c>
    </row>
    <row r="111" spans="1:11" x14ac:dyDescent="0.3">
      <c r="A111">
        <v>110</v>
      </c>
      <c r="B111" s="1">
        <v>45804.392210648097</v>
      </c>
      <c r="C111" s="1">
        <v>45804.3927430556</v>
      </c>
      <c r="D111" t="s">
        <v>17</v>
      </c>
      <c r="E111" t="s">
        <v>23</v>
      </c>
      <c r="F111" s="2">
        <v>17808</v>
      </c>
      <c r="G111" s="2" t="str">
        <f>VLOOKUP(F111,Produtos!A:B,2,FALSE)</f>
        <v>BUDWEISER OW 330ML CX C 24</v>
      </c>
      <c r="H111" t="s">
        <v>475</v>
      </c>
      <c r="I11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1" s="9" t="str">
        <f>VLOOKUP(Table1[[#This Row],[Área avaliada]],Endereços!A:B,2,0)</f>
        <v>Área Azul</v>
      </c>
      <c r="K111" t="s">
        <v>511</v>
      </c>
    </row>
    <row r="112" spans="1:11" x14ac:dyDescent="0.3">
      <c r="A112">
        <v>111</v>
      </c>
      <c r="B112" s="1">
        <v>45804.3917013889</v>
      </c>
      <c r="C112" s="1">
        <v>45804.3927430556</v>
      </c>
      <c r="D112" t="s">
        <v>19</v>
      </c>
      <c r="E112" t="s">
        <v>20</v>
      </c>
      <c r="F112" s="2">
        <v>19225</v>
      </c>
      <c r="G112" s="2" t="str">
        <f>VLOOKUP(F112,Produtos!A:B,2,FALSE)</f>
        <v>RED BULL BR LATA 250ML CAIXA C/24</v>
      </c>
      <c r="H112" t="s">
        <v>473</v>
      </c>
      <c r="I11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2" s="9" t="str">
        <f>VLOOKUP(Table1[[#This Row],[Área avaliada]],Endereços!A:B,2,0)</f>
        <v>Área Azul</v>
      </c>
      <c r="K112" t="str">
        <f>VLOOKUP(Table1[[#This Row],[Nome do avaliador ]],M:N,2,0)</f>
        <v>A</v>
      </c>
    </row>
    <row r="113" spans="1:11" x14ac:dyDescent="0.3">
      <c r="A113">
        <v>112</v>
      </c>
      <c r="B113" s="1">
        <v>45804.392777777801</v>
      </c>
      <c r="C113" s="1">
        <v>45804.393240740697</v>
      </c>
      <c r="D113" t="s">
        <v>17</v>
      </c>
      <c r="E113" t="s">
        <v>23</v>
      </c>
      <c r="F113" s="2">
        <v>21119</v>
      </c>
      <c r="G113" s="2" t="str">
        <f>VLOOKUP(F113,Produtos!A:B,2,FALSE)</f>
        <v>SKOL BEATS GT LT 269ML CX CAR C/8</v>
      </c>
      <c r="H113" t="s">
        <v>475</v>
      </c>
      <c r="I11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3" s="9" t="str">
        <f>VLOOKUP(Table1[[#This Row],[Área avaliada]],Endereços!A:B,2,0)</f>
        <v>Área Azul</v>
      </c>
      <c r="K113" t="s">
        <v>511</v>
      </c>
    </row>
    <row r="114" spans="1:11" x14ac:dyDescent="0.3">
      <c r="A114">
        <v>113</v>
      </c>
      <c r="B114" s="1">
        <v>45804.395937499998</v>
      </c>
      <c r="C114" s="1">
        <v>45804.3971759259</v>
      </c>
      <c r="D114" t="s">
        <v>19</v>
      </c>
      <c r="E114" t="s">
        <v>20</v>
      </c>
      <c r="F114" s="2">
        <v>9276</v>
      </c>
      <c r="G114" s="2" t="str">
        <f>VLOOKUP(F114,Produtos!A:B,2,FALSE)</f>
        <v>PEPSI ZERO PET 2L CX C/6</v>
      </c>
      <c r="H114" t="s">
        <v>475</v>
      </c>
      <c r="I11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4" s="9" t="str">
        <f>VLOOKUP(Table1[[#This Row],[Área avaliada]],Endereços!A:B,2,0)</f>
        <v>Área Azul</v>
      </c>
      <c r="K114" t="str">
        <f>VLOOKUP(Table1[[#This Row],[Nome do avaliador ]],M:N,2,0)</f>
        <v>A</v>
      </c>
    </row>
    <row r="115" spans="1:11" x14ac:dyDescent="0.3">
      <c r="A115">
        <v>114</v>
      </c>
      <c r="B115" s="1">
        <v>45804.397430555597</v>
      </c>
      <c r="C115" s="1">
        <v>45804.398009259297</v>
      </c>
      <c r="D115" t="s">
        <v>17</v>
      </c>
      <c r="E115" t="s">
        <v>20</v>
      </c>
      <c r="F115" s="2">
        <v>9091</v>
      </c>
      <c r="G115" s="2" t="str">
        <f>VLOOKUP(F115,Produtos!A:B,2,FALSE)</f>
        <v>TONICA ANTARCTICA LT 350ML SH C/12 NPAL</v>
      </c>
      <c r="H115" t="s">
        <v>475</v>
      </c>
      <c r="I11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5" s="9" t="str">
        <f>VLOOKUP(Table1[[#This Row],[Área avaliada]],Endereços!A:B,2,0)</f>
        <v>Área Azul</v>
      </c>
      <c r="K115" t="s">
        <v>511</v>
      </c>
    </row>
    <row r="116" spans="1:11" x14ac:dyDescent="0.3">
      <c r="A116">
        <v>115</v>
      </c>
      <c r="B116" s="1">
        <v>45804.398807870399</v>
      </c>
      <c r="C116" s="1">
        <v>45804.399467592601</v>
      </c>
      <c r="D116" t="s">
        <v>19</v>
      </c>
      <c r="E116" t="s">
        <v>33</v>
      </c>
      <c r="F116" s="2">
        <v>9084</v>
      </c>
      <c r="G116" s="2" t="str">
        <f>VLOOKUP(F116,Produtos!A:B,2,FALSE)</f>
        <v>GUARANA CHP ANTARCT LT350ML SH C/12 NPAL</v>
      </c>
      <c r="H116" t="s">
        <v>473</v>
      </c>
      <c r="I11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6" s="9" t="str">
        <f>VLOOKUP(Table1[[#This Row],[Área avaliada]],Endereços!A:B,2,0)</f>
        <v>Área Verde</v>
      </c>
      <c r="K116" t="str">
        <f>VLOOKUP(Table1[[#This Row],[Nome do avaliador ]],M:N,2,0)</f>
        <v>A</v>
      </c>
    </row>
    <row r="117" spans="1:11" x14ac:dyDescent="0.3">
      <c r="A117">
        <v>116</v>
      </c>
      <c r="B117" s="1">
        <v>45804.3992939815</v>
      </c>
      <c r="C117" s="1">
        <v>45804.399814814802</v>
      </c>
      <c r="D117" t="s">
        <v>17</v>
      </c>
      <c r="E117" t="s">
        <v>20</v>
      </c>
      <c r="F117" s="2">
        <v>19225</v>
      </c>
      <c r="G117" s="2" t="str">
        <f>VLOOKUP(F117,Produtos!A:B,2,FALSE)</f>
        <v>RED BULL BR LATA 250ML CAIXA C/24</v>
      </c>
      <c r="H117" t="s">
        <v>475</v>
      </c>
      <c r="I11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7" s="9" t="str">
        <f>VLOOKUP(Table1[[#This Row],[Área avaliada]],Endereços!A:B,2,0)</f>
        <v>Área Azul</v>
      </c>
      <c r="K117" t="s">
        <v>511</v>
      </c>
    </row>
    <row r="118" spans="1:11" x14ac:dyDescent="0.3">
      <c r="A118">
        <v>117</v>
      </c>
      <c r="B118" s="1">
        <v>45804.409606481502</v>
      </c>
      <c r="C118" s="1">
        <v>45804.410254629598</v>
      </c>
      <c r="D118" t="s">
        <v>19</v>
      </c>
      <c r="E118" t="s">
        <v>23</v>
      </c>
      <c r="F118" s="2">
        <v>17725</v>
      </c>
      <c r="G118" s="2" t="str">
        <f>VLOOKUP(F118,Produtos!A:B,2,FALSE)</f>
        <v>ANTARCTICA PILSEN LT 350ML SH C/18 MULTP</v>
      </c>
      <c r="H118" t="s">
        <v>473</v>
      </c>
      <c r="I11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8" s="9" t="str">
        <f>VLOOKUP(Table1[[#This Row],[Área avaliada]],Endereços!A:B,2,0)</f>
        <v>Área Azul</v>
      </c>
      <c r="K118" t="str">
        <f>VLOOKUP(Table1[[#This Row],[Nome do avaliador ]],M:N,2,0)</f>
        <v>A</v>
      </c>
    </row>
    <row r="119" spans="1:11" x14ac:dyDescent="0.3">
      <c r="A119">
        <v>118</v>
      </c>
      <c r="B119" s="1">
        <v>45804.648854166699</v>
      </c>
      <c r="C119" s="1">
        <v>45804.6511342593</v>
      </c>
      <c r="D119" t="s">
        <v>31</v>
      </c>
      <c r="E119" t="s">
        <v>14</v>
      </c>
      <c r="G119" t="e">
        <f>VLOOKUP(F119,Produtos!A:B,2,FALSE)</f>
        <v>#N/A</v>
      </c>
      <c r="H119" t="s">
        <v>473</v>
      </c>
      <c r="I11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9" s="9" t="str">
        <f>VLOOKUP(Table1[[#This Row],[Área avaliada]],Endereços!A:B,2,0)</f>
        <v>Picking Baixo Giro</v>
      </c>
      <c r="K119" t="str">
        <f>VLOOKUP(Table1[[#This Row],[Nome do avaliador ]],M:N,2,0)</f>
        <v>B</v>
      </c>
    </row>
    <row r="120" spans="1:11" x14ac:dyDescent="0.3">
      <c r="A120">
        <v>119</v>
      </c>
      <c r="B120" s="1">
        <v>45805.4075115741</v>
      </c>
      <c r="C120" s="1">
        <v>45805.408333333296</v>
      </c>
      <c r="D120" t="s">
        <v>19</v>
      </c>
      <c r="E120" t="s">
        <v>23</v>
      </c>
      <c r="F120" s="2">
        <v>9068</v>
      </c>
      <c r="G120" s="2" t="str">
        <f>VLOOKUP(F120,Produtos!A:B,2,FALSE)</f>
        <v>SKOL LATA 350ML SH C/12 NPAL</v>
      </c>
      <c r="H120" t="s">
        <v>473</v>
      </c>
      <c r="I12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0" s="9" t="str">
        <f>VLOOKUP(Table1[[#This Row],[Área avaliada]],Endereços!A:B,2,0)</f>
        <v>Área Azul</v>
      </c>
      <c r="K120" t="str">
        <f>VLOOKUP(Table1[[#This Row],[Nome do avaliador ]],M:N,2,0)</f>
        <v>A</v>
      </c>
    </row>
    <row r="121" spans="1:11" x14ac:dyDescent="0.3">
      <c r="A121">
        <v>120</v>
      </c>
      <c r="B121" s="1">
        <v>45805.409375000003</v>
      </c>
      <c r="C121" s="1">
        <v>45805.410289351901</v>
      </c>
      <c r="D121" t="s">
        <v>19</v>
      </c>
      <c r="E121" t="s">
        <v>25</v>
      </c>
      <c r="F121" s="2">
        <v>6903</v>
      </c>
      <c r="G121" s="2" t="str">
        <f>VLOOKUP(F121,Produtos!A:B,2,FALSE)</f>
        <v>AGUA M F DA ILHA S/G PVC 500ML CAIXA C/1</v>
      </c>
      <c r="H121" t="s">
        <v>474</v>
      </c>
      <c r="I12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1" s="9" t="str">
        <f>VLOOKUP(Table1[[#This Row],[Área avaliada]],Endereços!A:B,2,0)</f>
        <v>Área Azul</v>
      </c>
      <c r="K121" t="str">
        <f>VLOOKUP(Table1[[#This Row],[Nome do avaliador ]],M:N,2,0)</f>
        <v>A</v>
      </c>
    </row>
    <row r="122" spans="1:11" x14ac:dyDescent="0.3">
      <c r="A122">
        <v>121</v>
      </c>
      <c r="B122" s="1">
        <v>45805.410520833299</v>
      </c>
      <c r="C122" s="1">
        <v>45805.411157407398</v>
      </c>
      <c r="D122" t="s">
        <v>17</v>
      </c>
      <c r="E122" t="s">
        <v>23</v>
      </c>
      <c r="F122" s="2">
        <v>9089</v>
      </c>
      <c r="G122" s="2" t="str">
        <f>VLOOKUP(F122,Produtos!A:B,2,FALSE)</f>
        <v>SUKITA LATA 350ML SH C/12 NPAL</v>
      </c>
      <c r="H122" t="s">
        <v>475</v>
      </c>
      <c r="I12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2" s="9" t="str">
        <f>VLOOKUP(Table1[[#This Row],[Área avaliada]],Endereços!A:B,2,0)</f>
        <v>Área Azul</v>
      </c>
      <c r="K122" t="s">
        <v>511</v>
      </c>
    </row>
    <row r="123" spans="1:11" x14ac:dyDescent="0.3">
      <c r="A123">
        <v>122</v>
      </c>
      <c r="B123" s="1">
        <v>45805.411180555602</v>
      </c>
      <c r="C123" s="1">
        <v>45805.412013888897</v>
      </c>
      <c r="D123" t="s">
        <v>17</v>
      </c>
      <c r="E123" t="s">
        <v>23</v>
      </c>
      <c r="F123" s="2">
        <v>1898</v>
      </c>
      <c r="G123" s="2" t="str">
        <f>VLOOKUP(F123,Produtos!A:B,2,FALSE)</f>
        <v>BRAHMA CHOPP LT 269ML SH C/15 NPAL</v>
      </c>
      <c r="H123" t="s">
        <v>475</v>
      </c>
      <c r="I12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3" s="9" t="str">
        <f>VLOOKUP(Table1[[#This Row],[Área avaliada]],Endereços!A:B,2,0)</f>
        <v>Área Azul</v>
      </c>
      <c r="K123" t="s">
        <v>511</v>
      </c>
    </row>
    <row r="124" spans="1:11" x14ac:dyDescent="0.3">
      <c r="A124">
        <v>123</v>
      </c>
      <c r="B124" s="1">
        <v>45807.215972222199</v>
      </c>
      <c r="C124" s="1">
        <v>45807.222175925897</v>
      </c>
      <c r="D124" t="s">
        <v>26</v>
      </c>
      <c r="E124" t="s">
        <v>23</v>
      </c>
      <c r="F124" s="2">
        <v>17797</v>
      </c>
      <c r="G124" s="2" t="str">
        <f>VLOOKUP(F124,Produtos!A:B,2,FALSE)</f>
        <v>BRAHMA CHOPP LATA 350ML SH 18 MULTIPACK</v>
      </c>
      <c r="H124" t="s">
        <v>475</v>
      </c>
      <c r="I12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4" s="9" t="str">
        <f>VLOOKUP(Table1[[#This Row],[Área avaliada]],Endereços!A:B,2,0)</f>
        <v>Área Azul</v>
      </c>
      <c r="K124" t="str">
        <f>VLOOKUP(Table1[[#This Row],[Nome do avaliador ]],M:N,2,0)</f>
        <v>C</v>
      </c>
    </row>
    <row r="125" spans="1:11" x14ac:dyDescent="0.3">
      <c r="A125">
        <v>124</v>
      </c>
      <c r="B125" s="1">
        <v>45807.225497685198</v>
      </c>
      <c r="C125" s="1">
        <v>45807.226342592599</v>
      </c>
      <c r="D125" t="s">
        <v>26</v>
      </c>
      <c r="E125" t="s">
        <v>23</v>
      </c>
      <c r="F125" s="2">
        <v>9084</v>
      </c>
      <c r="G125" s="2" t="str">
        <f>VLOOKUP(F125,Produtos!A:B,2,FALSE)</f>
        <v>GUARANA CHP ANTARCT LT350ML SH C/12 NPAL</v>
      </c>
      <c r="H125" t="s">
        <v>475</v>
      </c>
      <c r="I12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5" s="9" t="str">
        <f>VLOOKUP(Table1[[#This Row],[Área avaliada]],Endereços!A:B,2,0)</f>
        <v>Área Azul</v>
      </c>
      <c r="K125" t="str">
        <f>VLOOKUP(Table1[[#This Row],[Nome do avaliador ]],M:N,2,0)</f>
        <v>C</v>
      </c>
    </row>
    <row r="126" spans="1:11" x14ac:dyDescent="0.3">
      <c r="A126">
        <v>125</v>
      </c>
      <c r="B126" s="1">
        <v>45807.229907407404</v>
      </c>
      <c r="C126" s="1">
        <v>45807.230682870402</v>
      </c>
      <c r="D126" t="s">
        <v>26</v>
      </c>
      <c r="E126" t="s">
        <v>14</v>
      </c>
      <c r="F126" s="2">
        <v>9274</v>
      </c>
      <c r="G126" s="2" t="str">
        <f>VLOOKUP(F126,Produtos!A:B,2,FALSE)</f>
        <v>PEPSI ZERO LATA 350ML SH C/12 NPAL</v>
      </c>
      <c r="H126" t="s">
        <v>475</v>
      </c>
      <c r="I12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6" s="9" t="str">
        <f>VLOOKUP(Table1[[#This Row],[Área avaliada]],Endereços!A:B,2,0)</f>
        <v>Picking Baixo Giro</v>
      </c>
      <c r="K126" t="str">
        <f>VLOOKUP(Table1[[#This Row],[Nome do avaliador ]],M:N,2,0)</f>
        <v>C</v>
      </c>
    </row>
    <row r="127" spans="1:11" x14ac:dyDescent="0.3">
      <c r="A127">
        <v>126</v>
      </c>
      <c r="B127" s="1">
        <v>45807.232222222199</v>
      </c>
      <c r="C127" s="1">
        <v>45807.233136574097</v>
      </c>
      <c r="D127" t="s">
        <v>26</v>
      </c>
      <c r="E127" t="s">
        <v>14</v>
      </c>
      <c r="F127" s="2">
        <v>9085</v>
      </c>
      <c r="G127" s="2" t="str">
        <f>VLOOKUP(F127,Produtos!A:B,2,FALSE)</f>
        <v>GUARANA CHP ANTARCT DIET LT350ML SHC/12</v>
      </c>
      <c r="H127" t="s">
        <v>475</v>
      </c>
      <c r="I12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7" s="9" t="str">
        <f>VLOOKUP(Table1[[#This Row],[Área avaliada]],Endereços!A:B,2,0)</f>
        <v>Picking Baixo Giro</v>
      </c>
      <c r="K127" t="str">
        <f>VLOOKUP(Table1[[#This Row],[Nome do avaliador ]],M:N,2,0)</f>
        <v>C</v>
      </c>
    </row>
    <row r="128" spans="1:11" x14ac:dyDescent="0.3">
      <c r="A128">
        <v>127</v>
      </c>
      <c r="B128" s="1">
        <v>45807.372465277796</v>
      </c>
      <c r="C128" s="1">
        <v>45807.373055555603</v>
      </c>
      <c r="D128" t="s">
        <v>19</v>
      </c>
      <c r="E128" t="s">
        <v>23</v>
      </c>
      <c r="F128" s="2">
        <v>12948</v>
      </c>
      <c r="G128" s="2" t="str">
        <f>VLOOKUP(F128,Produtos!A:B,2,FALSE)</f>
        <v>BRAHMA CHOPP ZERO LATA 350 SH CX C12 NPA</v>
      </c>
      <c r="H128" t="s">
        <v>473</v>
      </c>
      <c r="I12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8" s="9" t="str">
        <f>VLOOKUP(Table1[[#This Row],[Área avaliada]],Endereços!A:B,2,0)</f>
        <v>Área Azul</v>
      </c>
      <c r="K128" t="str">
        <f>VLOOKUP(Table1[[#This Row],[Nome do avaliador ]],M:N,2,0)</f>
        <v>A</v>
      </c>
    </row>
    <row r="129" spans="1:11" x14ac:dyDescent="0.3">
      <c r="A129">
        <v>128</v>
      </c>
      <c r="B129" s="1">
        <v>45807.373761574097</v>
      </c>
      <c r="C129" s="1">
        <v>45807.374606481499</v>
      </c>
      <c r="D129" t="s">
        <v>19</v>
      </c>
      <c r="E129" t="s">
        <v>23</v>
      </c>
      <c r="F129" s="2">
        <v>2008</v>
      </c>
      <c r="G129" s="2" t="str">
        <f>VLOOKUP(F129,Produtos!A:B,2,FALSE)</f>
        <v>ANTARCTICA SUBZERO LT 350ML SH C/12 NPAL</v>
      </c>
      <c r="H129" t="s">
        <v>475</v>
      </c>
      <c r="I12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9" s="9" t="str">
        <f>VLOOKUP(Table1[[#This Row],[Área avaliada]],Endereços!A:B,2,0)</f>
        <v>Área Azul</v>
      </c>
      <c r="K129" t="str">
        <f>VLOOKUP(Table1[[#This Row],[Nome do avaliador ]],M:N,2,0)</f>
        <v>A</v>
      </c>
    </row>
    <row r="130" spans="1:11" x14ac:dyDescent="0.3">
      <c r="A130">
        <v>129</v>
      </c>
      <c r="B130" s="1">
        <v>45807.375868055598</v>
      </c>
      <c r="C130" s="1">
        <v>45807.376469907402</v>
      </c>
      <c r="D130" t="s">
        <v>19</v>
      </c>
      <c r="E130" t="s">
        <v>23</v>
      </c>
      <c r="F130" s="2">
        <v>9092</v>
      </c>
      <c r="G130" s="2" t="str">
        <f>VLOOKUP(F130,Produtos!A:B,2,FALSE)</f>
        <v>TONICA ANTARCTICA DIET LT350MLSHC/12 PAL</v>
      </c>
      <c r="H130" t="s">
        <v>473</v>
      </c>
      <c r="I13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0" s="9" t="str">
        <f>VLOOKUP(Table1[[#This Row],[Área avaliada]],Endereços!A:B,2,0)</f>
        <v>Área Azul</v>
      </c>
      <c r="K130" t="str">
        <f>VLOOKUP(Table1[[#This Row],[Nome do avaliador ]],M:N,2,0)</f>
        <v>A</v>
      </c>
    </row>
    <row r="131" spans="1:11" x14ac:dyDescent="0.3">
      <c r="A131">
        <v>130</v>
      </c>
      <c r="B131" s="1">
        <v>45807.378275463001</v>
      </c>
      <c r="C131" s="1">
        <v>45807.378842592603</v>
      </c>
      <c r="D131" t="s">
        <v>19</v>
      </c>
      <c r="E131" t="s">
        <v>23</v>
      </c>
      <c r="F131" s="2">
        <v>1898</v>
      </c>
      <c r="G131" s="2" t="str">
        <f>VLOOKUP(F131,Produtos!A:B,2,FALSE)</f>
        <v>BRAHMA CHOPP LT 269ML SH C/15 NPAL</v>
      </c>
      <c r="H131" t="s">
        <v>473</v>
      </c>
      <c r="I13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1" s="9" t="str">
        <f>VLOOKUP(Table1[[#This Row],[Área avaliada]],Endereços!A:B,2,0)</f>
        <v>Área Azul</v>
      </c>
      <c r="K131" t="str">
        <f>VLOOKUP(Table1[[#This Row],[Nome do avaliador ]],M:N,2,0)</f>
        <v>A</v>
      </c>
    </row>
    <row r="132" spans="1:11" x14ac:dyDescent="0.3">
      <c r="A132">
        <v>131</v>
      </c>
      <c r="B132" s="1">
        <v>45807.378472222197</v>
      </c>
      <c r="C132" s="1">
        <v>45807.379074074102</v>
      </c>
      <c r="D132" t="s">
        <v>17</v>
      </c>
      <c r="E132" t="s">
        <v>23</v>
      </c>
      <c r="F132" s="2">
        <v>9081</v>
      </c>
      <c r="G132" s="2" t="str">
        <f>VLOOKUP(F132,Produtos!A:B,2,FALSE)</f>
        <v>MALZBIER BRAHMA LATA 350ML SH C/12 NPAL</v>
      </c>
      <c r="H132" t="s">
        <v>475</v>
      </c>
      <c r="I13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2" s="9" t="str">
        <f>VLOOKUP(Table1[[#This Row],[Área avaliada]],Endereços!A:B,2,0)</f>
        <v>Área Azul</v>
      </c>
      <c r="K132" t="s">
        <v>511</v>
      </c>
    </row>
    <row r="133" spans="1:11" x14ac:dyDescent="0.3">
      <c r="A133">
        <v>132</v>
      </c>
      <c r="B133" s="1">
        <v>45807.3820486111</v>
      </c>
      <c r="C133" s="1">
        <v>45807.382870370398</v>
      </c>
      <c r="D133" t="s">
        <v>19</v>
      </c>
      <c r="E133" t="s">
        <v>25</v>
      </c>
      <c r="F133" s="2">
        <v>6905</v>
      </c>
      <c r="G133" s="2" t="str">
        <f>VLOOKUP(F133,Produtos!A:B,2,FALSE)</f>
        <v>AGUA M F DA ILHA C/G PVC 500ML CAIXA C/1</v>
      </c>
      <c r="H133" t="s">
        <v>473</v>
      </c>
      <c r="I13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3" s="9" t="str">
        <f>VLOOKUP(Table1[[#This Row],[Área avaliada]],Endereços!A:B,2,0)</f>
        <v>Área Azul</v>
      </c>
      <c r="K133" t="str">
        <f>VLOOKUP(Table1[[#This Row],[Nome do avaliador ]],M:N,2,0)</f>
        <v>A</v>
      </c>
    </row>
    <row r="134" spans="1:11" x14ac:dyDescent="0.3">
      <c r="A134">
        <v>133</v>
      </c>
      <c r="B134" s="1">
        <v>45807.389421296299</v>
      </c>
      <c r="C134" s="1">
        <v>45807.390347222201</v>
      </c>
      <c r="D134" t="s">
        <v>19</v>
      </c>
      <c r="E134" t="s">
        <v>33</v>
      </c>
      <c r="F134" s="2">
        <v>2132</v>
      </c>
      <c r="G134" s="2" t="str">
        <f>VLOOKUP(F134,Produtos!A:B,2,FALSE)</f>
        <v>GUARANA CHP ANTARCTICA PET1L CX C/6 NRIO</v>
      </c>
      <c r="H134" t="s">
        <v>474</v>
      </c>
      <c r="I13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4" s="9" t="str">
        <f>VLOOKUP(Table1[[#This Row],[Área avaliada]],Endereços!A:B,2,0)</f>
        <v>Área Verde</v>
      </c>
      <c r="K134" t="str">
        <f>VLOOKUP(Table1[[#This Row],[Nome do avaliador ]],M:N,2,0)</f>
        <v>A</v>
      </c>
    </row>
    <row r="135" spans="1:11" x14ac:dyDescent="0.3">
      <c r="A135">
        <v>134</v>
      </c>
      <c r="B135" s="1">
        <v>45807.3913888889</v>
      </c>
      <c r="C135" s="1">
        <v>45807.392233796301</v>
      </c>
      <c r="D135" t="s">
        <v>19</v>
      </c>
      <c r="E135" t="s">
        <v>33</v>
      </c>
      <c r="F135" s="2">
        <v>6905</v>
      </c>
      <c r="G135" s="2" t="str">
        <f>VLOOKUP(F135,Produtos!A:B,2,FALSE)</f>
        <v>AGUA M F DA ILHA C/G PVC 500ML CAIXA C/1</v>
      </c>
      <c r="H135" t="s">
        <v>474</v>
      </c>
      <c r="I13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5" s="9" t="str">
        <f>VLOOKUP(Table1[[#This Row],[Área avaliada]],Endereços!A:B,2,0)</f>
        <v>Área Verde</v>
      </c>
      <c r="K135" t="str">
        <f>VLOOKUP(Table1[[#This Row],[Nome do avaliador ]],M:N,2,0)</f>
        <v>A</v>
      </c>
    </row>
    <row r="136" spans="1:11" x14ac:dyDescent="0.3">
      <c r="A136">
        <v>135</v>
      </c>
      <c r="B136" s="1">
        <v>45807.7976851852</v>
      </c>
      <c r="C136" s="1">
        <v>45807.8018981481</v>
      </c>
      <c r="D136" t="s">
        <v>31</v>
      </c>
      <c r="E136" t="s">
        <v>14</v>
      </c>
      <c r="G136" t="e">
        <f>VLOOKUP(F136,Produtos!A:B,2,FALSE)</f>
        <v>#N/A</v>
      </c>
      <c r="I13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6" s="9" t="str">
        <f>VLOOKUP(Table1[[#This Row],[Área avaliada]],Endereços!A:B,2,0)</f>
        <v>Picking Baixo Giro</v>
      </c>
      <c r="K136" t="str">
        <f>VLOOKUP(Table1[[#This Row],[Nome do avaliador ]],M:N,2,0)</f>
        <v>B</v>
      </c>
    </row>
    <row r="137" spans="1:11" x14ac:dyDescent="0.3">
      <c r="A137">
        <v>136</v>
      </c>
      <c r="B137" s="1">
        <v>45808.255555555603</v>
      </c>
      <c r="C137" s="1">
        <v>45808.256631944401</v>
      </c>
      <c r="D137" t="s">
        <v>17</v>
      </c>
      <c r="E137" t="s">
        <v>23</v>
      </c>
      <c r="F137" s="2">
        <v>8411</v>
      </c>
      <c r="G137" s="2" t="str">
        <f>VLOOKUP(F137,Produtos!A:B,2,FALSE)</f>
        <v>GUARANA CHP ANTARCTICA PET 1,5L SH C/6</v>
      </c>
      <c r="H137" t="s">
        <v>475</v>
      </c>
      <c r="I13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7" s="9" t="str">
        <f>VLOOKUP(Table1[[#This Row],[Área avaliada]],Endereços!A:B,2,0)</f>
        <v>Área Azul</v>
      </c>
      <c r="K137" t="s">
        <v>511</v>
      </c>
    </row>
    <row r="138" spans="1:11" x14ac:dyDescent="0.3">
      <c r="A138">
        <v>137</v>
      </c>
      <c r="B138" s="1">
        <v>45808.258831018502</v>
      </c>
      <c r="C138" s="1">
        <v>45808.259444444397</v>
      </c>
      <c r="D138" t="s">
        <v>17</v>
      </c>
      <c r="E138" t="s">
        <v>23</v>
      </c>
      <c r="F138" s="2">
        <v>20498</v>
      </c>
      <c r="G138" s="2" t="str">
        <f>VLOOKUP(F138,Produtos!A:B,2,FALSE)</f>
        <v>BRAHMA DUPLO MALTE LT SLEEK 350ML SH C12</v>
      </c>
      <c r="H138" t="s">
        <v>475</v>
      </c>
      <c r="I13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8" s="9" t="str">
        <f>VLOOKUP(Table1[[#This Row],[Área avaliada]],Endereços!A:B,2,0)</f>
        <v>Área Azul</v>
      </c>
      <c r="K138" t="s">
        <v>511</v>
      </c>
    </row>
    <row r="139" spans="1:11" x14ac:dyDescent="0.3">
      <c r="A139">
        <v>138</v>
      </c>
      <c r="B139" s="1">
        <v>45808.260266203702</v>
      </c>
      <c r="C139" s="1">
        <v>45808.260844907403</v>
      </c>
      <c r="D139" t="s">
        <v>17</v>
      </c>
      <c r="E139" t="s">
        <v>25</v>
      </c>
      <c r="F139" s="2">
        <v>17797</v>
      </c>
      <c r="G139" s="2" t="str">
        <f>VLOOKUP(F139,Produtos!A:B,2,FALSE)</f>
        <v>BRAHMA CHOPP LATA 350ML SH 18 MULTIPACK</v>
      </c>
      <c r="H139" t="s">
        <v>475</v>
      </c>
      <c r="I13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9" s="9" t="str">
        <f>VLOOKUP(Table1[[#This Row],[Área avaliada]],Endereços!A:B,2,0)</f>
        <v>Área Azul</v>
      </c>
      <c r="K139" t="s">
        <v>511</v>
      </c>
    </row>
    <row r="140" spans="1:11" x14ac:dyDescent="0.3">
      <c r="A140">
        <v>139</v>
      </c>
      <c r="B140" s="1">
        <v>45808.642592592601</v>
      </c>
      <c r="C140" s="1">
        <v>45808.6632060185</v>
      </c>
      <c r="D140" t="s">
        <v>28</v>
      </c>
      <c r="E140" t="s">
        <v>15</v>
      </c>
      <c r="F140" t="s">
        <v>34</v>
      </c>
      <c r="G140" t="e">
        <f>VLOOKUP(F140,Produtos!A:B,2,FALSE)</f>
        <v>#N/A</v>
      </c>
      <c r="H140" t="s">
        <v>475</v>
      </c>
      <c r="I14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40" s="9" t="str">
        <f>VLOOKUP(Table1[[#This Row],[Área avaliada]],Endereços!A:B,2,0)</f>
        <v>Picking Alto Giro</v>
      </c>
      <c r="K140" t="str">
        <f>VLOOKUP(Table1[[#This Row],[Nome do avaliador ]],M:N,2,0)</f>
        <v>A</v>
      </c>
    </row>
    <row r="141" spans="1:11" x14ac:dyDescent="0.3">
      <c r="A141">
        <v>140</v>
      </c>
      <c r="B141" s="1">
        <v>45810.3797106481</v>
      </c>
      <c r="C141" s="1">
        <v>45810.3809259259</v>
      </c>
      <c r="D141" t="s">
        <v>19</v>
      </c>
      <c r="E141" t="s">
        <v>23</v>
      </c>
      <c r="F141" s="2">
        <v>9096</v>
      </c>
      <c r="G141" s="2" t="str">
        <f>VLOOKUP(F141,Produtos!A:B,2,FALSE)</f>
        <v>PEPSI COLA LATA 350ML SH C/12 NPAL</v>
      </c>
      <c r="H141" t="s">
        <v>473</v>
      </c>
      <c r="I14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1" s="9" t="str">
        <f>VLOOKUP(Table1[[#This Row],[Área avaliada]],Endereços!A:B,2,0)</f>
        <v>Área Azul</v>
      </c>
      <c r="K141" t="str">
        <f>VLOOKUP(Table1[[#This Row],[Nome do avaliador ]],M:N,2,0)</f>
        <v>A</v>
      </c>
    </row>
    <row r="142" spans="1:11" x14ac:dyDescent="0.3">
      <c r="A142">
        <v>141</v>
      </c>
      <c r="B142" s="1">
        <v>45810.382511574098</v>
      </c>
      <c r="C142" s="1">
        <v>45810.384085648097</v>
      </c>
      <c r="D142" t="s">
        <v>19</v>
      </c>
      <c r="E142" t="s">
        <v>23</v>
      </c>
      <c r="F142" s="2">
        <v>14135</v>
      </c>
      <c r="G142" s="2" t="str">
        <f>VLOOKUP(F142,Produtos!A:B,2,FALSE)</f>
        <v>BUDWEISER LT 473ML SIX-PACK SH C/2 NPAL</v>
      </c>
      <c r="H142" t="s">
        <v>473</v>
      </c>
      <c r="I14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2" s="9" t="str">
        <f>VLOOKUP(Table1[[#This Row],[Área avaliada]],Endereços!A:B,2,0)</f>
        <v>Área Azul</v>
      </c>
      <c r="K142" t="str">
        <f>VLOOKUP(Table1[[#This Row],[Nome do avaliador ]],M:N,2,0)</f>
        <v>A</v>
      </c>
    </row>
    <row r="143" spans="1:11" x14ac:dyDescent="0.3">
      <c r="A143">
        <v>142</v>
      </c>
      <c r="B143" s="1">
        <v>45810.384108796301</v>
      </c>
      <c r="C143" s="1">
        <v>45810.384710648097</v>
      </c>
      <c r="D143" t="s">
        <v>17</v>
      </c>
      <c r="E143" t="s">
        <v>23</v>
      </c>
      <c r="F143" s="2">
        <v>9083</v>
      </c>
      <c r="G143" s="2" t="str">
        <f>VLOOKUP(F143,Produtos!A:B,2,FALSE)</f>
        <v>SKOL LT 473ML SH C/12 NPAL</v>
      </c>
      <c r="H143" t="s">
        <v>475</v>
      </c>
      <c r="I14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3" s="9" t="str">
        <f>VLOOKUP(Table1[[#This Row],[Área avaliada]],Endereços!A:B,2,0)</f>
        <v>Área Azul</v>
      </c>
      <c r="K143" t="s">
        <v>511</v>
      </c>
    </row>
    <row r="144" spans="1:11" x14ac:dyDescent="0.3">
      <c r="A144">
        <v>143</v>
      </c>
      <c r="B144" s="1">
        <v>45810.386342592603</v>
      </c>
      <c r="C144" s="1">
        <v>45810.386863425898</v>
      </c>
      <c r="D144" t="s">
        <v>19</v>
      </c>
      <c r="E144" t="s">
        <v>25</v>
      </c>
      <c r="F144" s="2">
        <v>21020</v>
      </c>
      <c r="G144" s="2" t="str">
        <f>VLOOKUP(F144,Produtos!A:B,2,FALSE)</f>
        <v>BUDWEISER LT SLEEK 350ML CX CART C12</v>
      </c>
      <c r="H144" t="s">
        <v>473</v>
      </c>
      <c r="I14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4" s="9" t="str">
        <f>VLOOKUP(Table1[[#This Row],[Área avaliada]],Endereços!A:B,2,0)</f>
        <v>Área Azul</v>
      </c>
      <c r="K144" t="str">
        <f>VLOOKUP(Table1[[#This Row],[Nome do avaliador ]],M:N,2,0)</f>
        <v>A</v>
      </c>
    </row>
    <row r="145" spans="1:11" x14ac:dyDescent="0.3">
      <c r="A145">
        <v>144</v>
      </c>
      <c r="B145" s="1">
        <v>45810.388217592597</v>
      </c>
      <c r="C145" s="1">
        <v>45810.388993055603</v>
      </c>
      <c r="D145" t="s">
        <v>19</v>
      </c>
      <c r="E145" t="s">
        <v>23</v>
      </c>
      <c r="F145" s="2">
        <v>9067</v>
      </c>
      <c r="G145" s="2" t="str">
        <f>VLOOKUP(F145,Produtos!A:B,2,FALSE)</f>
        <v>ANTARCTICA PILSEN LATA 350ML SH C/12 NPA</v>
      </c>
      <c r="H145" t="s">
        <v>473</v>
      </c>
      <c r="I14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5" s="9" t="str">
        <f>VLOOKUP(Table1[[#This Row],[Área avaliada]],Endereços!A:B,2,0)</f>
        <v>Área Azul</v>
      </c>
      <c r="K145" t="str">
        <f>VLOOKUP(Table1[[#This Row],[Nome do avaliador ]],M:N,2,0)</f>
        <v>A</v>
      </c>
    </row>
    <row r="146" spans="1:11" x14ac:dyDescent="0.3">
      <c r="A146">
        <v>145</v>
      </c>
      <c r="B146" s="1">
        <v>45811.393993055601</v>
      </c>
      <c r="C146" s="1">
        <v>45811.394664351901</v>
      </c>
      <c r="D146" t="s">
        <v>19</v>
      </c>
      <c r="E146" t="s">
        <v>23</v>
      </c>
      <c r="F146" s="2">
        <v>9068</v>
      </c>
      <c r="G146" s="2" t="str">
        <f>VLOOKUP(F146,Produtos!A:B,2,FALSE)</f>
        <v>SKOL LATA 350ML SH C/12 NPAL</v>
      </c>
      <c r="H146" t="s">
        <v>473</v>
      </c>
      <c r="I14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6" s="9" t="str">
        <f>VLOOKUP(Table1[[#This Row],[Área avaliada]],Endereços!A:B,2,0)</f>
        <v>Área Azul</v>
      </c>
      <c r="K146" t="str">
        <f>VLOOKUP(Table1[[#This Row],[Nome do avaliador ]],M:N,2,0)</f>
        <v>A</v>
      </c>
    </row>
    <row r="147" spans="1:11" x14ac:dyDescent="0.3">
      <c r="A147">
        <v>146</v>
      </c>
      <c r="B147" s="1">
        <v>45811.401215277801</v>
      </c>
      <c r="C147" s="1">
        <v>45811.402546296304</v>
      </c>
      <c r="D147" t="s">
        <v>19</v>
      </c>
      <c r="E147" t="s">
        <v>20</v>
      </c>
      <c r="F147" s="2">
        <v>17797</v>
      </c>
      <c r="G147" s="2" t="str">
        <f>VLOOKUP(F147,Produtos!A:B,2,FALSE)</f>
        <v>BRAHMA CHOPP LATA 350ML SH 18 MULTIPACK</v>
      </c>
      <c r="H147" t="s">
        <v>475</v>
      </c>
      <c r="I14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7" s="9" t="str">
        <f>VLOOKUP(Table1[[#This Row],[Área avaliada]],Endereços!A:B,2,0)</f>
        <v>Área Azul</v>
      </c>
      <c r="K147" t="str">
        <f>VLOOKUP(Table1[[#This Row],[Nome do avaliador ]],M:N,2,0)</f>
        <v>A</v>
      </c>
    </row>
    <row r="148" spans="1:11" x14ac:dyDescent="0.3">
      <c r="A148">
        <v>147</v>
      </c>
      <c r="B148" s="1">
        <v>45812.5203819444</v>
      </c>
      <c r="C148" s="1">
        <v>45812.521099537</v>
      </c>
      <c r="D148" t="s">
        <v>19</v>
      </c>
      <c r="E148" t="s">
        <v>23</v>
      </c>
      <c r="F148" s="2">
        <v>20651</v>
      </c>
      <c r="G148" s="2" t="str">
        <f>VLOOKUP(F148,Produtos!A:B,2,FALSE)</f>
        <v>CORONA N LT SLEEK 350ML CX 8</v>
      </c>
      <c r="H148" t="s">
        <v>475</v>
      </c>
      <c r="I14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8" s="9" t="str">
        <f>VLOOKUP(Table1[[#This Row],[Área avaliada]],Endereços!A:B,2,0)</f>
        <v>Área Azul</v>
      </c>
      <c r="K148" t="str">
        <f>VLOOKUP(Table1[[#This Row],[Nome do avaliador ]],M:N,2,0)</f>
        <v>A</v>
      </c>
    </row>
    <row r="149" spans="1:11" x14ac:dyDescent="0.3">
      <c r="A149">
        <v>148</v>
      </c>
      <c r="B149" s="1">
        <v>45812.526435185202</v>
      </c>
      <c r="C149" s="1">
        <v>45812.527291666702</v>
      </c>
      <c r="D149" t="s">
        <v>19</v>
      </c>
      <c r="E149" t="s">
        <v>20</v>
      </c>
      <c r="F149" s="2">
        <v>9084</v>
      </c>
      <c r="G149" s="2" t="str">
        <f>VLOOKUP(F149,Produtos!A:B,2,FALSE)</f>
        <v>GUARANA CHP ANTARCT LT350ML SH C/12 NPAL</v>
      </c>
      <c r="H149" t="s">
        <v>475</v>
      </c>
      <c r="I14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9" s="9" t="str">
        <f>VLOOKUP(Table1[[#This Row],[Área avaliada]],Endereços!A:B,2,0)</f>
        <v>Área Azul</v>
      </c>
      <c r="K149" t="str">
        <f>VLOOKUP(Table1[[#This Row],[Nome do avaliador ]],M:N,2,0)</f>
        <v>A</v>
      </c>
    </row>
    <row r="150" spans="1:11" x14ac:dyDescent="0.3">
      <c r="A150">
        <v>149</v>
      </c>
      <c r="B150" s="1">
        <v>45812.528842592597</v>
      </c>
      <c r="C150" s="1">
        <v>45812.529641203699</v>
      </c>
      <c r="D150" t="s">
        <v>19</v>
      </c>
      <c r="E150" t="s">
        <v>20</v>
      </c>
      <c r="F150" s="2">
        <v>9084</v>
      </c>
      <c r="G150" s="2" t="str">
        <f>VLOOKUP(F150,Produtos!A:B,2,FALSE)</f>
        <v>GUARANA CHP ANTARCT LT350ML SH C/12 NPAL</v>
      </c>
      <c r="H150" t="s">
        <v>473</v>
      </c>
      <c r="I15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0" s="9" t="str">
        <f>VLOOKUP(Table1[[#This Row],[Área avaliada]],Endereços!A:B,2,0)</f>
        <v>Área Azul</v>
      </c>
      <c r="K150" t="str">
        <f>VLOOKUP(Table1[[#This Row],[Nome do avaliador ]],M:N,2,0)</f>
        <v>A</v>
      </c>
    </row>
    <row r="151" spans="1:11" x14ac:dyDescent="0.3">
      <c r="A151">
        <v>150</v>
      </c>
      <c r="B151" s="1">
        <v>45812.529710648101</v>
      </c>
      <c r="C151" s="1">
        <v>45812.530243055597</v>
      </c>
      <c r="D151" t="s">
        <v>19</v>
      </c>
      <c r="E151" t="s">
        <v>20</v>
      </c>
      <c r="F151" s="2">
        <v>9084</v>
      </c>
      <c r="G151" s="2" t="str">
        <f>VLOOKUP(F151,Produtos!A:B,2,FALSE)</f>
        <v>GUARANA CHP ANTARCT LT350ML SH C/12 NPAL</v>
      </c>
      <c r="H151" t="s">
        <v>473</v>
      </c>
      <c r="I15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1" s="9" t="str">
        <f>VLOOKUP(Table1[[#This Row],[Área avaliada]],Endereços!A:B,2,0)</f>
        <v>Área Azul</v>
      </c>
      <c r="K151" t="str">
        <f>VLOOKUP(Table1[[#This Row],[Nome do avaliador ]],M:N,2,0)</f>
        <v>A</v>
      </c>
    </row>
    <row r="152" spans="1:11" x14ac:dyDescent="0.3">
      <c r="A152">
        <v>151</v>
      </c>
      <c r="B152" s="1">
        <v>45812.531030092599</v>
      </c>
      <c r="C152" s="1">
        <v>45812.531585648103</v>
      </c>
      <c r="D152" t="s">
        <v>19</v>
      </c>
      <c r="E152" t="s">
        <v>20</v>
      </c>
      <c r="F152" s="2">
        <v>9084</v>
      </c>
      <c r="G152" s="2" t="str">
        <f>VLOOKUP(F152,Produtos!A:B,2,FALSE)</f>
        <v>GUARANA CHP ANTARCT LT350ML SH C/12 NPAL</v>
      </c>
      <c r="H152" t="s">
        <v>473</v>
      </c>
      <c r="I15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2" s="9" t="str">
        <f>VLOOKUP(Table1[[#This Row],[Área avaliada]],Endereços!A:B,2,0)</f>
        <v>Área Azul</v>
      </c>
      <c r="K152" t="str">
        <f>VLOOKUP(Table1[[#This Row],[Nome do avaliador ]],M:N,2,0)</f>
        <v>A</v>
      </c>
    </row>
    <row r="153" spans="1:11" x14ac:dyDescent="0.3">
      <c r="A153">
        <v>152</v>
      </c>
      <c r="B153" s="1">
        <v>45813.3652546296</v>
      </c>
      <c r="C153" s="1">
        <v>45813.365983796299</v>
      </c>
      <c r="D153" t="s">
        <v>17</v>
      </c>
      <c r="E153" t="s">
        <v>23</v>
      </c>
      <c r="F153" s="2">
        <v>18807</v>
      </c>
      <c r="G153" s="2" t="str">
        <f>VLOOKUP(F153,Produtos!A:B,2,FALSE)</f>
        <v>STELLA ARTOIS LN 330ML 6PACK SHR C 4</v>
      </c>
      <c r="H153" t="s">
        <v>475</v>
      </c>
      <c r="I15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3" s="9" t="str">
        <f>VLOOKUP(Table1[[#This Row],[Área avaliada]],Endereços!A:B,2,0)</f>
        <v>Área Azul</v>
      </c>
      <c r="K153" t="s">
        <v>511</v>
      </c>
    </row>
    <row r="154" spans="1:11" x14ac:dyDescent="0.3">
      <c r="A154">
        <v>153</v>
      </c>
      <c r="B154" s="1">
        <v>45813.368587962999</v>
      </c>
      <c r="C154" s="1">
        <v>45813.370011574101</v>
      </c>
      <c r="D154" t="s">
        <v>19</v>
      </c>
      <c r="E154" t="s">
        <v>20</v>
      </c>
      <c r="F154" s="2">
        <v>9096</v>
      </c>
      <c r="G154" s="2" t="str">
        <f>VLOOKUP(F154,Produtos!A:B,2,FALSE)</f>
        <v>PEPSI COLA LATA 350ML SH C/12 NPAL</v>
      </c>
      <c r="H154" t="s">
        <v>473</v>
      </c>
      <c r="I15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4" s="9" t="str">
        <f>VLOOKUP(Table1[[#This Row],[Área avaliada]],Endereços!A:B,2,0)</f>
        <v>Área Azul</v>
      </c>
      <c r="K154" t="str">
        <f>VLOOKUP(Table1[[#This Row],[Nome do avaliador ]],M:N,2,0)</f>
        <v>A</v>
      </c>
    </row>
    <row r="155" spans="1:11" x14ac:dyDescent="0.3">
      <c r="A155">
        <v>154</v>
      </c>
      <c r="B155" s="1">
        <v>45813.371608796297</v>
      </c>
      <c r="C155" s="1">
        <v>45813.372974537</v>
      </c>
      <c r="D155" t="s">
        <v>19</v>
      </c>
      <c r="E155" t="s">
        <v>20</v>
      </c>
      <c r="F155" s="2">
        <v>17797</v>
      </c>
      <c r="G155" s="2" t="str">
        <f>VLOOKUP(F155,Produtos!A:B,2,FALSE)</f>
        <v>BRAHMA CHOPP LATA 350ML SH 18 MULTIPACK</v>
      </c>
      <c r="H155" t="s">
        <v>473</v>
      </c>
      <c r="I15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5" s="9" t="str">
        <f>VLOOKUP(Table1[[#This Row],[Área avaliada]],Endereços!A:B,2,0)</f>
        <v>Área Azul</v>
      </c>
      <c r="K155" t="str">
        <f>VLOOKUP(Table1[[#This Row],[Nome do avaliador ]],M:N,2,0)</f>
        <v>A</v>
      </c>
    </row>
    <row r="156" spans="1:11" x14ac:dyDescent="0.3">
      <c r="A156">
        <v>155</v>
      </c>
      <c r="B156" s="1">
        <v>45813.3745023148</v>
      </c>
      <c r="C156" s="1">
        <v>45813.375081018501</v>
      </c>
      <c r="D156" t="s">
        <v>19</v>
      </c>
      <c r="E156" t="s">
        <v>33</v>
      </c>
      <c r="F156" s="2">
        <v>6905</v>
      </c>
      <c r="G156" s="2" t="str">
        <f>VLOOKUP(F156,Produtos!A:B,2,FALSE)</f>
        <v>AGUA M F DA ILHA C/G PVC 500ML CAIXA C/1</v>
      </c>
      <c r="H156" t="s">
        <v>474</v>
      </c>
      <c r="I15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6" s="9" t="str">
        <f>VLOOKUP(Table1[[#This Row],[Área avaliada]],Endereços!A:B,2,0)</f>
        <v>Área Verde</v>
      </c>
      <c r="K156" t="str">
        <f>VLOOKUP(Table1[[#This Row],[Nome do avaliador ]],M:N,2,0)</f>
        <v>A</v>
      </c>
    </row>
    <row r="157" spans="1:11" x14ac:dyDescent="0.3">
      <c r="A157">
        <v>156</v>
      </c>
      <c r="B157" s="1">
        <v>45813.378148148098</v>
      </c>
      <c r="C157" s="1">
        <v>45813.378807870402</v>
      </c>
      <c r="D157" t="s">
        <v>19</v>
      </c>
      <c r="E157" t="s">
        <v>25</v>
      </c>
      <c r="F157" s="2">
        <v>21020</v>
      </c>
      <c r="G157" s="2" t="str">
        <f>VLOOKUP(F157,Produtos!A:B,2,FALSE)</f>
        <v>BUDWEISER LT SLEEK 350ML CX CART C12</v>
      </c>
      <c r="H157" t="s">
        <v>475</v>
      </c>
      <c r="I15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7" s="9" t="str">
        <f>VLOOKUP(Table1[[#This Row],[Área avaliada]],Endereços!A:B,2,0)</f>
        <v>Área Azul</v>
      </c>
      <c r="K157" t="str">
        <f>VLOOKUP(Table1[[#This Row],[Nome do avaliador ]],M:N,2,0)</f>
        <v>A</v>
      </c>
    </row>
    <row r="158" spans="1:11" x14ac:dyDescent="0.3">
      <c r="A158">
        <v>157</v>
      </c>
      <c r="B158" s="1">
        <v>45813.398113425901</v>
      </c>
      <c r="C158" s="1">
        <v>45813.3987962963</v>
      </c>
      <c r="D158" t="s">
        <v>19</v>
      </c>
      <c r="E158" t="s">
        <v>23</v>
      </c>
      <c r="F158" s="2">
        <v>9068</v>
      </c>
      <c r="G158" s="2" t="str">
        <f>VLOOKUP(F158,Produtos!A:B,2,FALSE)</f>
        <v>SKOL LATA 350ML SH C/12 NPAL</v>
      </c>
      <c r="H158" t="s">
        <v>475</v>
      </c>
      <c r="I15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8" s="9" t="str">
        <f>VLOOKUP(Table1[[#This Row],[Área avaliada]],Endereços!A:B,2,0)</f>
        <v>Área Azul</v>
      </c>
      <c r="K158" t="str">
        <f>VLOOKUP(Table1[[#This Row],[Nome do avaliador ]],M:N,2,0)</f>
        <v>A</v>
      </c>
    </row>
    <row r="159" spans="1:11" x14ac:dyDescent="0.3">
      <c r="A159">
        <v>158</v>
      </c>
      <c r="B159" s="1">
        <v>45813.3988425926</v>
      </c>
      <c r="C159" s="1">
        <v>45813.399479166699</v>
      </c>
      <c r="D159" t="s">
        <v>19</v>
      </c>
      <c r="E159" t="s">
        <v>23</v>
      </c>
      <c r="F159" s="2">
        <v>9068</v>
      </c>
      <c r="G159" s="2" t="str">
        <f>VLOOKUP(F159,Produtos!A:B,2,FALSE)</f>
        <v>SKOL LATA 350ML SH C/12 NPAL</v>
      </c>
      <c r="H159" t="s">
        <v>473</v>
      </c>
      <c r="I15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9" s="9" t="str">
        <f>VLOOKUP(Table1[[#This Row],[Área avaliada]],Endereços!A:B,2,0)</f>
        <v>Área Azul</v>
      </c>
      <c r="K159" t="str">
        <f>VLOOKUP(Table1[[#This Row],[Nome do avaliador ]],M:N,2,0)</f>
        <v>A</v>
      </c>
    </row>
    <row r="160" spans="1:11" x14ac:dyDescent="0.3">
      <c r="A160">
        <v>159</v>
      </c>
      <c r="B160" s="1">
        <v>45813.402523148099</v>
      </c>
      <c r="C160" s="1">
        <v>45813.403391203698</v>
      </c>
      <c r="D160" t="s">
        <v>19</v>
      </c>
      <c r="E160" t="s">
        <v>23</v>
      </c>
      <c r="F160" s="2">
        <v>9085</v>
      </c>
      <c r="G160" s="2" t="str">
        <f>VLOOKUP(F160,Produtos!A:B,2,FALSE)</f>
        <v>GUARANA CHP ANTARCT DIET LT350ML SHC/12</v>
      </c>
      <c r="H160" t="s">
        <v>482</v>
      </c>
      <c r="I16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0" s="9" t="str">
        <f>VLOOKUP(Table1[[#This Row],[Área avaliada]],Endereços!A:B,2,0)</f>
        <v>Área Azul</v>
      </c>
      <c r="K160" t="str">
        <f>VLOOKUP(Table1[[#This Row],[Nome do avaliador ]],M:N,2,0)</f>
        <v>A</v>
      </c>
    </row>
    <row r="161" spans="1:11" x14ac:dyDescent="0.3">
      <c r="A161">
        <v>160</v>
      </c>
      <c r="B161" s="1">
        <v>45813.6269791667</v>
      </c>
      <c r="C161" s="1">
        <v>45813.632581018501</v>
      </c>
      <c r="D161" t="s">
        <v>31</v>
      </c>
      <c r="E161" t="s">
        <v>14</v>
      </c>
      <c r="G161" t="e">
        <f>VLOOKUP(F161,Produtos!A:B,2,FALSE)</f>
        <v>#N/A</v>
      </c>
      <c r="I16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1" s="9" t="str">
        <f>VLOOKUP(Table1[[#This Row],[Área avaliada]],Endereços!A:B,2,0)</f>
        <v>Picking Baixo Giro</v>
      </c>
      <c r="K161" t="str">
        <f>VLOOKUP(Table1[[#This Row],[Nome do avaliador ]],M:N,2,0)</f>
        <v>B</v>
      </c>
    </row>
    <row r="162" spans="1:11" x14ac:dyDescent="0.3">
      <c r="A162">
        <v>161</v>
      </c>
      <c r="B162" s="1">
        <v>45814.146932870397</v>
      </c>
      <c r="C162" s="1">
        <v>45814.148784722202</v>
      </c>
      <c r="D162" t="s">
        <v>27</v>
      </c>
      <c r="E162" t="s">
        <v>14</v>
      </c>
      <c r="G162" t="e">
        <f>VLOOKUP(F162,Produtos!A:B,2,FALSE)</f>
        <v>#N/A</v>
      </c>
      <c r="H162" t="s">
        <v>477</v>
      </c>
      <c r="I16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2" s="9" t="str">
        <f>VLOOKUP(Table1[[#This Row],[Área avaliada]],Endereços!A:B,2,0)</f>
        <v>Picking Baixo Giro</v>
      </c>
      <c r="K162" t="str">
        <f>VLOOKUP(Table1[[#This Row],[Nome do avaliador ]],M:N,2,0)</f>
        <v>C</v>
      </c>
    </row>
    <row r="163" spans="1:11" x14ac:dyDescent="0.3">
      <c r="A163">
        <v>162</v>
      </c>
      <c r="B163" s="1">
        <v>45814.148993055598</v>
      </c>
      <c r="C163" s="1">
        <v>45814.150787036997</v>
      </c>
      <c r="D163" t="s">
        <v>27</v>
      </c>
      <c r="E163" t="s">
        <v>20</v>
      </c>
      <c r="G163" t="e">
        <f>VLOOKUP(F163,Produtos!A:B,2,FALSE)</f>
        <v>#N/A</v>
      </c>
      <c r="H163" t="s">
        <v>477</v>
      </c>
      <c r="I16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3" s="9" t="str">
        <f>VLOOKUP(Table1[[#This Row],[Área avaliada]],Endereços!A:B,2,0)</f>
        <v>Área Azul</v>
      </c>
      <c r="K163" t="str">
        <f>VLOOKUP(Table1[[#This Row],[Nome do avaliador ]],M:N,2,0)</f>
        <v>C</v>
      </c>
    </row>
    <row r="164" spans="1:11" x14ac:dyDescent="0.3">
      <c r="A164">
        <v>163</v>
      </c>
      <c r="B164" s="1">
        <v>45814.179097222201</v>
      </c>
      <c r="C164" s="1">
        <v>45814.181273148097</v>
      </c>
      <c r="D164" t="s">
        <v>26</v>
      </c>
      <c r="E164" t="s">
        <v>23</v>
      </c>
      <c r="F164" s="2">
        <v>9091</v>
      </c>
      <c r="G164" s="2" t="str">
        <f>VLOOKUP(F164,Produtos!A:B,2,FALSE)</f>
        <v>TONICA ANTARCTICA LT 350ML SH C/12 NPAL</v>
      </c>
      <c r="H164" t="s">
        <v>475</v>
      </c>
      <c r="I16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4" s="9" t="str">
        <f>VLOOKUP(Table1[[#This Row],[Área avaliada]],Endereços!A:B,2,0)</f>
        <v>Área Azul</v>
      </c>
      <c r="K164" t="str">
        <f>VLOOKUP(Table1[[#This Row],[Nome do avaliador ]],M:N,2,0)</f>
        <v>C</v>
      </c>
    </row>
    <row r="165" spans="1:11" x14ac:dyDescent="0.3">
      <c r="A165">
        <v>164</v>
      </c>
      <c r="B165" s="1">
        <v>45814.182083333297</v>
      </c>
      <c r="C165" s="1">
        <v>45814.183495370402</v>
      </c>
      <c r="D165" t="s">
        <v>26</v>
      </c>
      <c r="E165" t="s">
        <v>23</v>
      </c>
      <c r="G165" t="e">
        <f>VLOOKUP(F165,Produtos!A:B,2,FALSE)</f>
        <v>#N/A</v>
      </c>
      <c r="H165" t="s">
        <v>486</v>
      </c>
      <c r="I16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5" s="9" t="str">
        <f>VLOOKUP(Table1[[#This Row],[Área avaliada]],Endereços!A:B,2,0)</f>
        <v>Área Azul</v>
      </c>
      <c r="K165" t="str">
        <f>VLOOKUP(Table1[[#This Row],[Nome do avaliador ]],M:N,2,0)</f>
        <v>C</v>
      </c>
    </row>
    <row r="166" spans="1:11" x14ac:dyDescent="0.3">
      <c r="A166">
        <v>165</v>
      </c>
      <c r="B166" s="1">
        <v>45814.387222222198</v>
      </c>
      <c r="C166" s="1">
        <v>45814.387824074103</v>
      </c>
      <c r="D166" t="s">
        <v>19</v>
      </c>
      <c r="E166" t="s">
        <v>23</v>
      </c>
      <c r="F166" s="2">
        <v>9068</v>
      </c>
      <c r="G166" s="2" t="str">
        <f>VLOOKUP(F166,Produtos!A:B,2,FALSE)</f>
        <v>SKOL LATA 350ML SH C/12 NPAL</v>
      </c>
      <c r="H166" t="s">
        <v>475</v>
      </c>
      <c r="I16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6" s="9" t="str">
        <f>VLOOKUP(Table1[[#This Row],[Área avaliada]],Endereços!A:B,2,0)</f>
        <v>Área Azul</v>
      </c>
      <c r="K166" t="str">
        <f>VLOOKUP(Table1[[#This Row],[Nome do avaliador ]],M:N,2,0)</f>
        <v>A</v>
      </c>
    </row>
    <row r="167" spans="1:11" x14ac:dyDescent="0.3">
      <c r="A167">
        <v>166</v>
      </c>
      <c r="B167" s="1">
        <v>45814.3885069444</v>
      </c>
      <c r="C167" s="1">
        <v>45814.389027777797</v>
      </c>
      <c r="D167" t="s">
        <v>19</v>
      </c>
      <c r="E167" t="s">
        <v>23</v>
      </c>
      <c r="F167" s="2">
        <v>9067</v>
      </c>
      <c r="G167" s="2" t="str">
        <f>VLOOKUP(F167,Produtos!A:B,2,FALSE)</f>
        <v>ANTARCTICA PILSEN LATA 350ML SH C/12 NPA</v>
      </c>
      <c r="H167" t="s">
        <v>475</v>
      </c>
      <c r="I16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7" s="9" t="str">
        <f>VLOOKUP(Table1[[#This Row],[Área avaliada]],Endereços!A:B,2,0)</f>
        <v>Área Azul</v>
      </c>
      <c r="K167" t="str">
        <f>VLOOKUP(Table1[[#This Row],[Nome do avaliador ]],M:N,2,0)</f>
        <v>A</v>
      </c>
    </row>
    <row r="168" spans="1:11" x14ac:dyDescent="0.3">
      <c r="A168">
        <v>167</v>
      </c>
      <c r="B168" s="1">
        <v>45814.388657407399</v>
      </c>
      <c r="C168" s="1">
        <v>45814.389212962997</v>
      </c>
      <c r="D168" t="s">
        <v>17</v>
      </c>
      <c r="E168" t="s">
        <v>23</v>
      </c>
      <c r="F168" s="2">
        <v>9085</v>
      </c>
      <c r="G168" s="2" t="str">
        <f>VLOOKUP(F168,Produtos!A:B,2,FALSE)</f>
        <v>GUARANA CHP ANTARCT DIET LT350ML SHC/12</v>
      </c>
      <c r="H168" t="s">
        <v>475</v>
      </c>
      <c r="I16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8" s="9" t="str">
        <f>VLOOKUP(Table1[[#This Row],[Área avaliada]],Endereços!A:B,2,0)</f>
        <v>Área Azul</v>
      </c>
      <c r="K168" t="s">
        <v>511</v>
      </c>
    </row>
    <row r="169" spans="1:11" x14ac:dyDescent="0.3">
      <c r="A169">
        <v>168</v>
      </c>
      <c r="B169" s="1">
        <v>45814.392534722203</v>
      </c>
      <c r="C169" s="1">
        <v>45814.393090277801</v>
      </c>
      <c r="D169" t="s">
        <v>17</v>
      </c>
      <c r="E169" t="s">
        <v>20</v>
      </c>
      <c r="F169" s="2">
        <v>9096</v>
      </c>
      <c r="G169" s="2" t="str">
        <f>VLOOKUP(F169,Produtos!A:B,2,FALSE)</f>
        <v>PEPSI COLA LATA 350ML SH C/12 NPAL</v>
      </c>
      <c r="H169" t="s">
        <v>475</v>
      </c>
      <c r="I16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9" s="9" t="str">
        <f>VLOOKUP(Table1[[#This Row],[Área avaliada]],Endereços!A:B,2,0)</f>
        <v>Área Azul</v>
      </c>
      <c r="K169" t="s">
        <v>511</v>
      </c>
    </row>
    <row r="170" spans="1:11" x14ac:dyDescent="0.3">
      <c r="A170">
        <v>169</v>
      </c>
      <c r="B170" s="1">
        <v>45814.3961921296</v>
      </c>
      <c r="C170" s="1">
        <v>45814.397245370397</v>
      </c>
      <c r="D170" t="s">
        <v>19</v>
      </c>
      <c r="E170" t="s">
        <v>23</v>
      </c>
      <c r="F170" s="2">
        <v>14135</v>
      </c>
      <c r="G170" s="2" t="str">
        <f>VLOOKUP(F170,Produtos!A:B,2,FALSE)</f>
        <v>BUDWEISER LT 473ML SIX-PACK SH C/2 NPAL</v>
      </c>
      <c r="H170" t="s">
        <v>473</v>
      </c>
      <c r="I17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0" s="9" t="str">
        <f>VLOOKUP(Table1[[#This Row],[Área avaliada]],Endereços!A:B,2,0)</f>
        <v>Área Azul</v>
      </c>
      <c r="K170" t="str">
        <f>VLOOKUP(Table1[[#This Row],[Nome do avaliador ]],M:N,2,0)</f>
        <v>A</v>
      </c>
    </row>
    <row r="171" spans="1:11" x14ac:dyDescent="0.3">
      <c r="A171">
        <v>170</v>
      </c>
      <c r="B171" s="1">
        <v>45814.398020833301</v>
      </c>
      <c r="C171" s="1">
        <v>45814.39875</v>
      </c>
      <c r="D171" t="s">
        <v>19</v>
      </c>
      <c r="E171" t="s">
        <v>25</v>
      </c>
      <c r="F171" s="2">
        <v>28137</v>
      </c>
      <c r="G171" s="2" t="str">
        <f>VLOOKUP(F171,Produtos!A:B,2,FALSE)</f>
        <v>SKOL BT CAIPIRINHA LT 269ML CX CA C/8 NP</v>
      </c>
      <c r="H171" t="s">
        <v>475</v>
      </c>
      <c r="I17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1" s="9" t="str">
        <f>VLOOKUP(Table1[[#This Row],[Área avaliada]],Endereços!A:B,2,0)</f>
        <v>Área Azul</v>
      </c>
      <c r="K171" t="str">
        <f>VLOOKUP(Table1[[#This Row],[Nome do avaliador ]],M:N,2,0)</f>
        <v>A</v>
      </c>
    </row>
    <row r="172" spans="1:11" x14ac:dyDescent="0.3">
      <c r="A172">
        <v>171</v>
      </c>
      <c r="B172" s="1">
        <v>45814.792465277802</v>
      </c>
      <c r="C172" s="1">
        <v>45814.793402777803</v>
      </c>
      <c r="D172" t="s">
        <v>28</v>
      </c>
      <c r="E172" t="s">
        <v>15</v>
      </c>
      <c r="G172" t="e">
        <f>VLOOKUP(F172,Produtos!A:B,2,FALSE)</f>
        <v>#N/A</v>
      </c>
      <c r="H172" t="s">
        <v>479</v>
      </c>
      <c r="I17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2" s="9" t="str">
        <f>VLOOKUP(Table1[[#This Row],[Área avaliada]],Endereços!A:B,2,0)</f>
        <v>Picking Alto Giro</v>
      </c>
      <c r="K172" t="str">
        <f>VLOOKUP(Table1[[#This Row],[Nome do avaliador ]],M:N,2,0)</f>
        <v>A</v>
      </c>
    </row>
    <row r="173" spans="1:11" x14ac:dyDescent="0.3">
      <c r="A173">
        <v>172</v>
      </c>
      <c r="B173" s="1">
        <v>45815.1618171296</v>
      </c>
      <c r="C173" s="1">
        <v>45815.163981481499</v>
      </c>
      <c r="D173" t="s">
        <v>26</v>
      </c>
      <c r="E173" t="s">
        <v>23</v>
      </c>
      <c r="F173" s="2">
        <v>9069</v>
      </c>
      <c r="G173" s="2" t="str">
        <f>VLOOKUP(F173,Produtos!A:B,2,FALSE)</f>
        <v>BRAHMA CHOPP LATA 350ML SH C/12 NPAL</v>
      </c>
      <c r="H173" t="s">
        <v>475</v>
      </c>
      <c r="I17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3" s="9" t="str">
        <f>VLOOKUP(Table1[[#This Row],[Área avaliada]],Endereços!A:B,2,0)</f>
        <v>Área Azul</v>
      </c>
      <c r="K173" t="str">
        <f>VLOOKUP(Table1[[#This Row],[Nome do avaliador ]],M:N,2,0)</f>
        <v>C</v>
      </c>
    </row>
    <row r="174" spans="1:11" x14ac:dyDescent="0.3">
      <c r="A174">
        <v>173</v>
      </c>
      <c r="B174" s="1">
        <v>45815.166678240697</v>
      </c>
      <c r="C174" s="1">
        <v>45815.168356481503</v>
      </c>
      <c r="D174" t="s">
        <v>26</v>
      </c>
      <c r="E174" t="s">
        <v>23</v>
      </c>
      <c r="F174" s="2">
        <v>9067</v>
      </c>
      <c r="G174" s="2" t="str">
        <f>VLOOKUP(F174,Produtos!A:B,2,FALSE)</f>
        <v>ANTARCTICA PILSEN LATA 350ML SH C/12 NPA</v>
      </c>
      <c r="H174" t="s">
        <v>475</v>
      </c>
      <c r="I17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4" s="9" t="str">
        <f>VLOOKUP(Table1[[#This Row],[Área avaliada]],Endereços!A:B,2,0)</f>
        <v>Área Azul</v>
      </c>
      <c r="K174" t="str">
        <f>VLOOKUP(Table1[[#This Row],[Nome do avaliador ]],M:N,2,0)</f>
        <v>C</v>
      </c>
    </row>
    <row r="175" spans="1:11" x14ac:dyDescent="0.3">
      <c r="A175">
        <v>174</v>
      </c>
      <c r="B175" s="1">
        <v>45815.252002314803</v>
      </c>
      <c r="C175" s="1">
        <v>45815.252569444398</v>
      </c>
      <c r="D175" t="s">
        <v>17</v>
      </c>
      <c r="E175" t="s">
        <v>23</v>
      </c>
      <c r="F175" s="2">
        <v>9092</v>
      </c>
      <c r="G175" s="2" t="str">
        <f>VLOOKUP(F175,Produtos!A:B,2,FALSE)</f>
        <v>TONICA ANTARCTICA DIET LT350MLSHC/12 PAL</v>
      </c>
      <c r="H175" t="s">
        <v>475</v>
      </c>
      <c r="I17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5" s="9" t="str">
        <f>VLOOKUP(Table1[[#This Row],[Área avaliada]],Endereços!A:B,2,0)</f>
        <v>Área Azul</v>
      </c>
      <c r="K175" t="s">
        <v>511</v>
      </c>
    </row>
    <row r="176" spans="1:11" x14ac:dyDescent="0.3">
      <c r="A176">
        <v>175</v>
      </c>
      <c r="B176" s="1">
        <v>45815.252916666701</v>
      </c>
      <c r="C176" s="1">
        <v>45815.253506944398</v>
      </c>
      <c r="D176" t="s">
        <v>17</v>
      </c>
      <c r="E176" t="s">
        <v>23</v>
      </c>
      <c r="F176" s="2">
        <v>1164</v>
      </c>
      <c r="G176" s="2" t="str">
        <f>VLOOKUP(F176,Produtos!A:B,2,FALSE)</f>
        <v>SUKITA UVA LATA 350ML SH C/12 NPAL</v>
      </c>
      <c r="H176" t="s">
        <v>475</v>
      </c>
      <c r="I17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6" s="9" t="str">
        <f>VLOOKUP(Table1[[#This Row],[Área avaliada]],Endereços!A:B,2,0)</f>
        <v>Área Azul</v>
      </c>
      <c r="K176" t="s">
        <v>511</v>
      </c>
    </row>
    <row r="177" spans="1:11" x14ac:dyDescent="0.3">
      <c r="A177">
        <v>176</v>
      </c>
      <c r="B177" s="1">
        <v>45815.256030092598</v>
      </c>
      <c r="C177" s="1">
        <v>45815.256574074097</v>
      </c>
      <c r="D177" t="s">
        <v>17</v>
      </c>
      <c r="E177" t="s">
        <v>23</v>
      </c>
      <c r="F177" s="2">
        <v>9085</v>
      </c>
      <c r="G177" s="2" t="str">
        <f>VLOOKUP(F177,Produtos!A:B,2,FALSE)</f>
        <v>GUARANA CHP ANTARCT DIET LT350ML SHC/12</v>
      </c>
      <c r="H177" t="s">
        <v>475</v>
      </c>
      <c r="I17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7" s="9" t="str">
        <f>VLOOKUP(Table1[[#This Row],[Área avaliada]],Endereços!A:B,2,0)</f>
        <v>Área Azul</v>
      </c>
      <c r="K177" t="s">
        <v>511</v>
      </c>
    </row>
    <row r="178" spans="1:11" x14ac:dyDescent="0.3">
      <c r="A178">
        <v>177</v>
      </c>
      <c r="B178" s="1">
        <v>45815.261458333298</v>
      </c>
      <c r="C178" s="1">
        <v>45815.262094907397</v>
      </c>
      <c r="D178" t="s">
        <v>17</v>
      </c>
      <c r="E178" t="s">
        <v>25</v>
      </c>
      <c r="F178" s="2">
        <v>17797</v>
      </c>
      <c r="G178" s="2" t="str">
        <f>VLOOKUP(F178,Produtos!A:B,2,FALSE)</f>
        <v>BRAHMA CHOPP LATA 350ML SH 18 MULTIPACK</v>
      </c>
      <c r="H178" t="s">
        <v>475</v>
      </c>
      <c r="I17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8" s="9" t="str">
        <f>VLOOKUP(Table1[[#This Row],[Área avaliada]],Endereços!A:B,2,0)</f>
        <v>Área Azul</v>
      </c>
      <c r="K178" t="s">
        <v>510</v>
      </c>
    </row>
    <row r="179" spans="1:11" x14ac:dyDescent="0.3">
      <c r="A179">
        <v>178</v>
      </c>
      <c r="B179" s="1">
        <v>45815.262685185196</v>
      </c>
      <c r="C179" s="1">
        <v>45815.263298611098</v>
      </c>
      <c r="D179" t="s">
        <v>17</v>
      </c>
      <c r="E179" t="s">
        <v>25</v>
      </c>
      <c r="F179" s="2">
        <v>21119</v>
      </c>
      <c r="G179" s="2" t="str">
        <f>VLOOKUP(F179,Produtos!A:B,2,FALSE)</f>
        <v>SKOL BEATS GT LT 269ML CX CAR C/8</v>
      </c>
      <c r="H179" t="s">
        <v>475</v>
      </c>
      <c r="I17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9" s="9" t="str">
        <f>VLOOKUP(Table1[[#This Row],[Área avaliada]],Endereços!A:B,2,0)</f>
        <v>Área Azul</v>
      </c>
      <c r="K179" t="s">
        <v>510</v>
      </c>
    </row>
    <row r="180" spans="1:11" x14ac:dyDescent="0.3">
      <c r="A180">
        <v>179</v>
      </c>
      <c r="B180" s="1">
        <v>45815.2637384259</v>
      </c>
      <c r="C180" s="1">
        <v>45815.264282407399</v>
      </c>
      <c r="D180" t="s">
        <v>19</v>
      </c>
      <c r="E180" t="s">
        <v>23</v>
      </c>
      <c r="F180" s="2">
        <v>9067</v>
      </c>
      <c r="G180" s="2" t="str">
        <f>VLOOKUP(F180,Produtos!A:B,2,FALSE)</f>
        <v>ANTARCTICA PILSEN LATA 350ML SH C/12 NPA</v>
      </c>
      <c r="H180" t="s">
        <v>475</v>
      </c>
      <c r="I18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0" s="9" t="str">
        <f>VLOOKUP(Table1[[#This Row],[Área avaliada]],Endereços!A:B,2,0)</f>
        <v>Área Azul</v>
      </c>
      <c r="K180" t="str">
        <f>VLOOKUP(Table1[[#This Row],[Nome do avaliador ]],M:N,2,0)</f>
        <v>A</v>
      </c>
    </row>
    <row r="181" spans="1:11" x14ac:dyDescent="0.3">
      <c r="A181">
        <v>180</v>
      </c>
      <c r="B181" s="1">
        <v>45815.266539351796</v>
      </c>
      <c r="C181" s="1">
        <v>45815.267129629603</v>
      </c>
      <c r="D181" t="s">
        <v>19</v>
      </c>
      <c r="E181" t="s">
        <v>23</v>
      </c>
      <c r="F181" s="2">
        <v>12948</v>
      </c>
      <c r="G181" s="2" t="str">
        <f>VLOOKUP(F181,Produtos!A:B,2,FALSE)</f>
        <v>BRAHMA CHOPP ZERO LATA 350 SH CX C12 NPA</v>
      </c>
      <c r="H181" t="s">
        <v>482</v>
      </c>
      <c r="I18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1" s="9" t="str">
        <f>VLOOKUP(Table1[[#This Row],[Área avaliada]],Endereços!A:B,2,0)</f>
        <v>Área Azul</v>
      </c>
      <c r="K181" t="str">
        <f>VLOOKUP(Table1[[#This Row],[Nome do avaliador ]],M:N,2,0)</f>
        <v>A</v>
      </c>
    </row>
    <row r="182" spans="1:11" x14ac:dyDescent="0.3">
      <c r="A182">
        <v>181</v>
      </c>
      <c r="B182" s="1">
        <v>45815.268437500003</v>
      </c>
      <c r="C182" s="1">
        <v>45815.269201388903</v>
      </c>
      <c r="D182" t="s">
        <v>17</v>
      </c>
      <c r="E182" t="s">
        <v>20</v>
      </c>
      <c r="F182" s="2">
        <v>13061</v>
      </c>
      <c r="G182" s="2" t="str">
        <f>VLOOKUP(F182,Produtos!A:B,2,FALSE)</f>
        <v>H2OH LIMONETO PET500 SH C/12 NP</v>
      </c>
      <c r="H182" t="s">
        <v>475</v>
      </c>
      <c r="I18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2" s="9" t="str">
        <f>VLOOKUP(Table1[[#This Row],[Área avaliada]],Endereços!A:B,2,0)</f>
        <v>Área Azul</v>
      </c>
      <c r="K182" t="s">
        <v>510</v>
      </c>
    </row>
    <row r="183" spans="1:11" x14ac:dyDescent="0.3">
      <c r="A183">
        <v>182</v>
      </c>
      <c r="B183" s="1">
        <v>45815.269942129598</v>
      </c>
      <c r="C183" s="1">
        <v>45815.270624999997</v>
      </c>
      <c r="D183" t="s">
        <v>19</v>
      </c>
      <c r="E183" t="s">
        <v>25</v>
      </c>
      <c r="F183" s="2">
        <v>21020</v>
      </c>
      <c r="G183" s="2" t="str">
        <f>VLOOKUP(F183,Produtos!A:B,2,FALSE)</f>
        <v>BUDWEISER LT SLEEK 350ML CX CART C12</v>
      </c>
      <c r="H183" t="s">
        <v>475</v>
      </c>
      <c r="I18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3" s="9" t="str">
        <f>VLOOKUP(Table1[[#This Row],[Área avaliada]],Endereços!A:B,2,0)</f>
        <v>Área Azul</v>
      </c>
      <c r="K183" t="str">
        <f>VLOOKUP(Table1[[#This Row],[Nome do avaliador ]],M:N,2,0)</f>
        <v>A</v>
      </c>
    </row>
    <row r="184" spans="1:11" x14ac:dyDescent="0.3">
      <c r="A184">
        <v>183</v>
      </c>
      <c r="B184" s="1">
        <v>45815.374849537002</v>
      </c>
      <c r="C184" s="1">
        <v>45815.375636574099</v>
      </c>
      <c r="D184" t="s">
        <v>19</v>
      </c>
      <c r="E184" t="s">
        <v>33</v>
      </c>
      <c r="F184" s="2">
        <v>9069</v>
      </c>
      <c r="G184" s="2" t="str">
        <f>VLOOKUP(F184,Produtos!A:B,2,FALSE)</f>
        <v>BRAHMA CHOPP LATA 350ML SH C/12 NPAL</v>
      </c>
      <c r="H184" t="s">
        <v>475</v>
      </c>
      <c r="I18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4" s="9" t="str">
        <f>VLOOKUP(Table1[[#This Row],[Área avaliada]],Endereços!A:B,2,0)</f>
        <v>Área Verde</v>
      </c>
      <c r="K184" t="str">
        <f>VLOOKUP(Table1[[#This Row],[Nome do avaliador ]],M:N,2,0)</f>
        <v>A</v>
      </c>
    </row>
    <row r="185" spans="1:11" x14ac:dyDescent="0.3">
      <c r="A185">
        <v>184</v>
      </c>
      <c r="B185" s="1">
        <v>45817.338414351798</v>
      </c>
      <c r="C185" s="1">
        <v>45817.339687500003</v>
      </c>
      <c r="D185" t="s">
        <v>19</v>
      </c>
      <c r="E185" t="s">
        <v>23</v>
      </c>
      <c r="F185" s="2">
        <v>1898</v>
      </c>
      <c r="G185" s="2" t="str">
        <f>VLOOKUP(F185,Produtos!A:B,2,FALSE)</f>
        <v>BRAHMA CHOPP LT 269ML SH C/15 NPAL</v>
      </c>
      <c r="H185" t="s">
        <v>476</v>
      </c>
      <c r="I18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5" s="9" t="str">
        <f>VLOOKUP(Table1[[#This Row],[Área avaliada]],Endereços!A:B,2,0)</f>
        <v>Área Azul</v>
      </c>
      <c r="K185" t="str">
        <f>VLOOKUP(Table1[[#This Row],[Nome do avaliador ]],M:N,2,0)</f>
        <v>A</v>
      </c>
    </row>
    <row r="186" spans="1:11" x14ac:dyDescent="0.3">
      <c r="A186">
        <v>185</v>
      </c>
      <c r="B186" s="1">
        <v>45817.342997685198</v>
      </c>
      <c r="C186" s="1">
        <v>45817.343564814801</v>
      </c>
      <c r="D186" t="s">
        <v>19</v>
      </c>
      <c r="E186" t="s">
        <v>23</v>
      </c>
      <c r="F186" s="2">
        <v>9083</v>
      </c>
      <c r="G186" s="2" t="str">
        <f>VLOOKUP(F186,Produtos!A:B,2,FALSE)</f>
        <v>SKOL LT 473ML SH C/12 NPAL</v>
      </c>
      <c r="H186" t="s">
        <v>482</v>
      </c>
      <c r="I18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6" s="9" t="str">
        <f>VLOOKUP(Table1[[#This Row],[Área avaliada]],Endereços!A:B,2,0)</f>
        <v>Área Azul</v>
      </c>
      <c r="K186" t="str">
        <f>VLOOKUP(Table1[[#This Row],[Nome do avaliador ]],M:N,2,0)</f>
        <v>A</v>
      </c>
    </row>
    <row r="187" spans="1:11" x14ac:dyDescent="0.3">
      <c r="A187">
        <v>186</v>
      </c>
      <c r="B187" s="1">
        <v>45817.3452777778</v>
      </c>
      <c r="C187" s="1">
        <v>45817.345752314803</v>
      </c>
      <c r="D187" t="s">
        <v>19</v>
      </c>
      <c r="E187" t="s">
        <v>25</v>
      </c>
      <c r="F187" s="2">
        <v>9067</v>
      </c>
      <c r="G187" s="2" t="str">
        <f>VLOOKUP(F187,Produtos!A:B,2,FALSE)</f>
        <v>ANTARCTICA PILSEN LATA 350ML SH C/12 NPA</v>
      </c>
      <c r="H187" t="s">
        <v>475</v>
      </c>
      <c r="I18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7" s="9" t="str">
        <f>VLOOKUP(Table1[[#This Row],[Área avaliada]],Endereços!A:B,2,0)</f>
        <v>Área Azul</v>
      </c>
      <c r="K187" t="str">
        <f>VLOOKUP(Table1[[#This Row],[Nome do avaliador ]],M:N,2,0)</f>
        <v>A</v>
      </c>
    </row>
    <row r="188" spans="1:11" x14ac:dyDescent="0.3">
      <c r="A188">
        <v>187</v>
      </c>
      <c r="B188" s="1">
        <v>45817.347638888903</v>
      </c>
      <c r="C188" s="1">
        <v>45817.348310185203</v>
      </c>
      <c r="D188" t="s">
        <v>19</v>
      </c>
      <c r="E188" t="s">
        <v>20</v>
      </c>
      <c r="F188" s="2">
        <v>9069</v>
      </c>
      <c r="G188" s="2" t="str">
        <f>VLOOKUP(F188,Produtos!A:B,2,FALSE)</f>
        <v>BRAHMA CHOPP LATA 350ML SH C/12 NPAL</v>
      </c>
      <c r="H188" t="s">
        <v>475</v>
      </c>
      <c r="I18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8" s="9" t="str">
        <f>VLOOKUP(Table1[[#This Row],[Área avaliada]],Endereços!A:B,2,0)</f>
        <v>Área Azul</v>
      </c>
      <c r="K188" t="str">
        <f>VLOOKUP(Table1[[#This Row],[Nome do avaliador ]],M:N,2,0)</f>
        <v>A</v>
      </c>
    </row>
    <row r="189" spans="1:11" x14ac:dyDescent="0.3">
      <c r="A189">
        <v>188</v>
      </c>
      <c r="B189" s="1">
        <v>45817.349791666697</v>
      </c>
      <c r="C189" s="1">
        <v>45817.350405092599</v>
      </c>
      <c r="D189" t="s">
        <v>19</v>
      </c>
      <c r="E189" t="s">
        <v>25</v>
      </c>
      <c r="F189" s="2">
        <v>6905</v>
      </c>
      <c r="G189" s="2" t="str">
        <f>VLOOKUP(F189,Produtos!A:B,2,FALSE)</f>
        <v>AGUA M F DA ILHA C/G PVC 500ML CAIXA C/1</v>
      </c>
      <c r="H189" t="s">
        <v>474</v>
      </c>
      <c r="I18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9" s="9" t="str">
        <f>VLOOKUP(Table1[[#This Row],[Área avaliada]],Endereços!A:B,2,0)</f>
        <v>Área Azul</v>
      </c>
      <c r="K189" t="str">
        <f>VLOOKUP(Table1[[#This Row],[Nome do avaliador ]],M:N,2,0)</f>
        <v>A</v>
      </c>
    </row>
    <row r="190" spans="1:11" x14ac:dyDescent="0.3">
      <c r="A190">
        <v>189</v>
      </c>
      <c r="B190" s="1">
        <v>45817.3517013889</v>
      </c>
      <c r="C190" s="1">
        <v>45817.352349537003</v>
      </c>
      <c r="D190" t="s">
        <v>19</v>
      </c>
      <c r="E190" t="s">
        <v>20</v>
      </c>
      <c r="F190" s="2">
        <v>9091</v>
      </c>
      <c r="G190" s="2" t="str">
        <f>VLOOKUP(F190,Produtos!A:B,2,FALSE)</f>
        <v>TONICA ANTARCTICA LT 350ML SH C/12 NPAL</v>
      </c>
      <c r="H190" t="s">
        <v>473</v>
      </c>
      <c r="I19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0" s="9" t="str">
        <f>VLOOKUP(Table1[[#This Row],[Área avaliada]],Endereços!A:B,2,0)</f>
        <v>Área Azul</v>
      </c>
      <c r="K190" t="str">
        <f>VLOOKUP(Table1[[#This Row],[Nome do avaliador ]],M:N,2,0)</f>
        <v>A</v>
      </c>
    </row>
    <row r="191" spans="1:11" x14ac:dyDescent="0.3">
      <c r="A191">
        <v>190</v>
      </c>
      <c r="B191" s="1">
        <v>45817.354710648098</v>
      </c>
      <c r="C191" s="1">
        <v>45817.355381944399</v>
      </c>
      <c r="D191" t="s">
        <v>19</v>
      </c>
      <c r="E191" t="s">
        <v>20</v>
      </c>
      <c r="F191" s="2">
        <v>17797</v>
      </c>
      <c r="G191" s="2" t="str">
        <f>VLOOKUP(F191,Produtos!A:B,2,FALSE)</f>
        <v>BRAHMA CHOPP LATA 350ML SH 18 MULTIPACK</v>
      </c>
      <c r="H191" t="s">
        <v>473</v>
      </c>
      <c r="I19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1" s="9" t="str">
        <f>VLOOKUP(Table1[[#This Row],[Área avaliada]],Endereços!A:B,2,0)</f>
        <v>Área Azul</v>
      </c>
      <c r="K191" t="str">
        <f>VLOOKUP(Table1[[#This Row],[Nome do avaliador ]],M:N,2,0)</f>
        <v>A</v>
      </c>
    </row>
    <row r="192" spans="1:11" x14ac:dyDescent="0.3">
      <c r="A192">
        <v>191</v>
      </c>
      <c r="B192" s="1">
        <v>45817.3581134259</v>
      </c>
      <c r="C192" s="1">
        <v>45817.358715277798</v>
      </c>
      <c r="D192" t="s">
        <v>19</v>
      </c>
      <c r="E192" t="s">
        <v>33</v>
      </c>
      <c r="F192" s="2">
        <v>504</v>
      </c>
      <c r="G192" s="2" t="str">
        <f>VLOOKUP(F192,Produtos!A:B,2,FALSE)</f>
        <v>PEPSI COLA PET 2L CAIXA C/6</v>
      </c>
      <c r="H192" t="s">
        <v>474</v>
      </c>
      <c r="I19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2" s="9" t="str">
        <f>VLOOKUP(Table1[[#This Row],[Área avaliada]],Endereços!A:B,2,0)</f>
        <v>Área Verde</v>
      </c>
      <c r="K192" t="str">
        <f>VLOOKUP(Table1[[#This Row],[Nome do avaliador ]],M:N,2,0)</f>
        <v>A</v>
      </c>
    </row>
    <row r="193" spans="1:11" x14ac:dyDescent="0.3">
      <c r="A193">
        <v>192</v>
      </c>
      <c r="B193" s="1">
        <v>45817.619270833296</v>
      </c>
      <c r="C193" s="1">
        <v>45817.621574074103</v>
      </c>
      <c r="D193" t="s">
        <v>21</v>
      </c>
      <c r="E193" t="s">
        <v>15</v>
      </c>
      <c r="G193" t="e">
        <f>VLOOKUP(F193,Produtos!A:B,2,FALSE)</f>
        <v>#N/A</v>
      </c>
      <c r="H193" t="s">
        <v>483</v>
      </c>
      <c r="I19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3" s="9" t="str">
        <f>VLOOKUP(Table1[[#This Row],[Área avaliada]],Endereços!A:B,2,0)</f>
        <v>Picking Alto Giro</v>
      </c>
      <c r="K193" t="str">
        <f>VLOOKUP(Table1[[#This Row],[Nome do avaliador ]],M:N,2,0)</f>
        <v>B</v>
      </c>
    </row>
    <row r="194" spans="1:11" x14ac:dyDescent="0.3">
      <c r="A194">
        <v>193</v>
      </c>
      <c r="B194" s="1">
        <v>45818.3512037037</v>
      </c>
      <c r="C194" s="1">
        <v>45818.352164351803</v>
      </c>
      <c r="D194" t="s">
        <v>17</v>
      </c>
      <c r="E194" t="s">
        <v>23</v>
      </c>
      <c r="F194" s="2">
        <v>9093</v>
      </c>
      <c r="G194" s="2" t="str">
        <f>VLOOKUP(F194,Produtos!A:B,2,FALSE)</f>
        <v>PEPSI TWIST LATA 350ML SH C/12 NPAL</v>
      </c>
      <c r="H194" t="s">
        <v>475</v>
      </c>
      <c r="I19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4" s="9" t="str">
        <f>VLOOKUP(Table1[[#This Row],[Área avaliada]],Endereços!A:B,2,0)</f>
        <v>Área Azul</v>
      </c>
      <c r="K194" t="s">
        <v>510</v>
      </c>
    </row>
    <row r="195" spans="1:11" x14ac:dyDescent="0.3">
      <c r="A195">
        <v>194</v>
      </c>
      <c r="B195" s="1">
        <v>45818.352546296301</v>
      </c>
      <c r="C195" s="1">
        <v>45818.3532291667</v>
      </c>
      <c r="D195" t="s">
        <v>19</v>
      </c>
      <c r="E195" t="s">
        <v>23</v>
      </c>
      <c r="F195" s="2">
        <v>9071</v>
      </c>
      <c r="G195" s="2" t="str">
        <f>VLOOKUP(F195,Produtos!A:B,2,FALSE)</f>
        <v>CARACU LATA 350ML SH C/12 NPAL</v>
      </c>
      <c r="H195" t="s">
        <v>475</v>
      </c>
      <c r="I19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5" s="9" t="str">
        <f>VLOOKUP(Table1[[#This Row],[Área avaliada]],Endereços!A:B,2,0)</f>
        <v>Área Azul</v>
      </c>
      <c r="K195" t="str">
        <f>VLOOKUP(Table1[[#This Row],[Nome do avaliador ]],M:N,2,0)</f>
        <v>A</v>
      </c>
    </row>
    <row r="196" spans="1:11" x14ac:dyDescent="0.3">
      <c r="A196">
        <v>195</v>
      </c>
      <c r="B196" s="1">
        <v>45818.353437500002</v>
      </c>
      <c r="C196" s="1">
        <v>45818.353935185201</v>
      </c>
      <c r="D196" t="s">
        <v>17</v>
      </c>
      <c r="E196" t="s">
        <v>23</v>
      </c>
      <c r="F196" s="2">
        <v>32969</v>
      </c>
      <c r="G196" s="2" t="str">
        <f>VLOOKUP(F196,Produtos!A:B,2,FALSE)</f>
        <v>RED BULL S MOR E PESSEGO LT 250ML FOUR P</v>
      </c>
      <c r="H196" t="s">
        <v>475</v>
      </c>
      <c r="I19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6" s="9" t="str">
        <f>VLOOKUP(Table1[[#This Row],[Área avaliada]],Endereços!A:B,2,0)</f>
        <v>Área Azul</v>
      </c>
      <c r="K196" t="s">
        <v>510</v>
      </c>
    </row>
    <row r="197" spans="1:11" x14ac:dyDescent="0.3">
      <c r="A197">
        <v>196</v>
      </c>
      <c r="B197" s="1">
        <v>45818.357060185197</v>
      </c>
      <c r="C197" s="1">
        <v>45818.357627314799</v>
      </c>
      <c r="D197" t="s">
        <v>17</v>
      </c>
      <c r="E197" t="s">
        <v>23</v>
      </c>
      <c r="F197" s="2">
        <v>9069</v>
      </c>
      <c r="G197" s="2" t="str">
        <f>VLOOKUP(F197,Produtos!A:B,2,FALSE)</f>
        <v>BRAHMA CHOPP LATA 350ML SH C/12 NPAL</v>
      </c>
      <c r="H197" t="s">
        <v>475</v>
      </c>
      <c r="I19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7" s="9" t="str">
        <f>VLOOKUP(Table1[[#This Row],[Área avaliada]],Endereços!A:B,2,0)</f>
        <v>Área Azul</v>
      </c>
      <c r="K197" t="s">
        <v>510</v>
      </c>
    </row>
    <row r="198" spans="1:11" x14ac:dyDescent="0.3">
      <c r="A198">
        <v>197</v>
      </c>
      <c r="B198" s="1">
        <v>45818.357499999998</v>
      </c>
      <c r="C198" s="1">
        <v>45818.358263888898</v>
      </c>
      <c r="D198" t="s">
        <v>19</v>
      </c>
      <c r="E198" t="s">
        <v>23</v>
      </c>
      <c r="F198" s="2">
        <v>9067</v>
      </c>
      <c r="G198" s="2" t="str">
        <f>VLOOKUP(F198,Produtos!A:B,2,FALSE)</f>
        <v>ANTARCTICA PILSEN LATA 350ML SH C/12 NPA</v>
      </c>
      <c r="H198" t="s">
        <v>473</v>
      </c>
      <c r="I19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8" s="9" t="str">
        <f>VLOOKUP(Table1[[#This Row],[Área avaliada]],Endereços!A:B,2,0)</f>
        <v>Área Azul</v>
      </c>
      <c r="K198" t="str">
        <f>VLOOKUP(Table1[[#This Row],[Nome do avaliador ]],M:N,2,0)</f>
        <v>A</v>
      </c>
    </row>
    <row r="199" spans="1:11" x14ac:dyDescent="0.3">
      <c r="A199">
        <v>198</v>
      </c>
      <c r="B199" s="1">
        <v>45818.359594907401</v>
      </c>
      <c r="C199" s="1">
        <v>45818.3601851852</v>
      </c>
      <c r="D199" t="s">
        <v>17</v>
      </c>
      <c r="E199" t="s">
        <v>23</v>
      </c>
      <c r="F199" s="2">
        <v>9091</v>
      </c>
      <c r="G199" s="2" t="str">
        <f>VLOOKUP(F199,Produtos!A:B,2,FALSE)</f>
        <v>TONICA ANTARCTICA LT 350ML SH C/12 NPAL</v>
      </c>
      <c r="H199" t="s">
        <v>475</v>
      </c>
      <c r="I19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9" s="9" t="str">
        <f>VLOOKUP(Table1[[#This Row],[Área avaliada]],Endereços!A:B,2,0)</f>
        <v>Área Azul</v>
      </c>
      <c r="K199" t="s">
        <v>510</v>
      </c>
    </row>
    <row r="200" spans="1:11" x14ac:dyDescent="0.3">
      <c r="A200">
        <v>199</v>
      </c>
      <c r="B200" s="1">
        <v>45818.360312500001</v>
      </c>
      <c r="C200" s="1">
        <v>45818.360810185201</v>
      </c>
      <c r="D200" t="s">
        <v>17</v>
      </c>
      <c r="E200" t="s">
        <v>23</v>
      </c>
      <c r="F200" s="2">
        <v>33818</v>
      </c>
      <c r="G200" s="2" t="str">
        <f>VLOOKUP(F200,Produtos!A:B,2,FALSE)</f>
        <v>ORIGINAL LT 350ML SH C/12 NP MULTIPACK</v>
      </c>
      <c r="H200" t="s">
        <v>475</v>
      </c>
      <c r="I20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0" s="9" t="str">
        <f>VLOOKUP(Table1[[#This Row],[Área avaliada]],Endereços!A:B,2,0)</f>
        <v>Área Azul</v>
      </c>
      <c r="K200" t="s">
        <v>510</v>
      </c>
    </row>
    <row r="201" spans="1:11" x14ac:dyDescent="0.3">
      <c r="A201">
        <v>200</v>
      </c>
      <c r="B201" s="1">
        <v>45818.4525810185</v>
      </c>
      <c r="C201" s="1">
        <v>45818.453148148103</v>
      </c>
      <c r="D201" t="s">
        <v>17</v>
      </c>
      <c r="E201" t="s">
        <v>23</v>
      </c>
      <c r="F201" s="2">
        <v>19225</v>
      </c>
      <c r="G201" s="2" t="str">
        <f>VLOOKUP(F201,Produtos!A:B,2,FALSE)</f>
        <v>RED BULL BR LATA 250ML CAIXA C/24</v>
      </c>
      <c r="H201" t="s">
        <v>475</v>
      </c>
      <c r="I20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1" s="9" t="str">
        <f>VLOOKUP(Table1[[#This Row],[Área avaliada]],Endereços!A:B,2,0)</f>
        <v>Área Azul</v>
      </c>
      <c r="K201" t="s">
        <v>510</v>
      </c>
    </row>
    <row r="202" spans="1:11" x14ac:dyDescent="0.3">
      <c r="A202">
        <v>201</v>
      </c>
      <c r="B202" s="1">
        <v>45818.453182870398</v>
      </c>
      <c r="C202" s="1">
        <v>45818.453877314802</v>
      </c>
      <c r="D202" t="s">
        <v>17</v>
      </c>
      <c r="E202" t="s">
        <v>23</v>
      </c>
      <c r="F202" s="2">
        <v>33734</v>
      </c>
      <c r="G202" s="2" t="str">
        <f>VLOOKUP(F202,Produtos!A:B,2,FALSE)</f>
        <v>BEATS RED MIX LT 269ML SH C/8</v>
      </c>
      <c r="H202" t="s">
        <v>475</v>
      </c>
      <c r="I20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2" s="9" t="str">
        <f>VLOOKUP(Table1[[#This Row],[Área avaliada]],Endereços!A:B,2,0)</f>
        <v>Área Azul</v>
      </c>
      <c r="K202" t="s">
        <v>510</v>
      </c>
    </row>
    <row r="203" spans="1:11" x14ac:dyDescent="0.3">
      <c r="A203">
        <v>202</v>
      </c>
      <c r="B203" s="1">
        <v>45818.6401273148</v>
      </c>
      <c r="C203" s="1">
        <v>45818.644004629597</v>
      </c>
      <c r="D203" t="s">
        <v>31</v>
      </c>
      <c r="E203" t="s">
        <v>18</v>
      </c>
      <c r="G203" t="e">
        <f>VLOOKUP(F203,Produtos!A:B,2,FALSE)</f>
        <v>#N/A</v>
      </c>
      <c r="I20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3" s="9" t="str">
        <f>VLOOKUP(Table1[[#This Row],[Área avaliada]],Endereços!A:B,2,0)</f>
        <v>Área Vermelho</v>
      </c>
      <c r="K203" t="str">
        <f>VLOOKUP(Table1[[#This Row],[Nome do avaliador ]],M:N,2,0)</f>
        <v>B</v>
      </c>
    </row>
    <row r="204" spans="1:11" x14ac:dyDescent="0.3">
      <c r="A204">
        <v>203</v>
      </c>
      <c r="B204" s="1">
        <v>45819.185740740701</v>
      </c>
      <c r="C204" s="1">
        <v>45819.1866435185</v>
      </c>
      <c r="D204" t="s">
        <v>27</v>
      </c>
      <c r="E204" t="s">
        <v>25</v>
      </c>
      <c r="G204" t="e">
        <f>VLOOKUP(F204,Produtos!A:B,2,FALSE)</f>
        <v>#N/A</v>
      </c>
      <c r="H204" t="s">
        <v>477</v>
      </c>
      <c r="I20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4" s="9" t="str">
        <f>VLOOKUP(Table1[[#This Row],[Área avaliada]],Endereços!A:B,2,0)</f>
        <v>Área Azul</v>
      </c>
      <c r="K204" t="str">
        <f>VLOOKUP(Table1[[#This Row],[Nome do avaliador ]],M:N,2,0)</f>
        <v>C</v>
      </c>
    </row>
    <row r="205" spans="1:11" x14ac:dyDescent="0.3">
      <c r="A205">
        <v>204</v>
      </c>
      <c r="B205" s="1">
        <v>45819.187210648102</v>
      </c>
      <c r="C205" s="1">
        <v>45819.187847222202</v>
      </c>
      <c r="D205" t="s">
        <v>27</v>
      </c>
      <c r="E205" t="s">
        <v>25</v>
      </c>
      <c r="G205" t="e">
        <f>VLOOKUP(F205,Produtos!A:B,2,FALSE)</f>
        <v>#N/A</v>
      </c>
      <c r="H205" t="s">
        <v>477</v>
      </c>
      <c r="I20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5" s="9" t="str">
        <f>VLOOKUP(Table1[[#This Row],[Área avaliada]],Endereços!A:B,2,0)</f>
        <v>Área Azul</v>
      </c>
      <c r="K205" t="str">
        <f>VLOOKUP(Table1[[#This Row],[Nome do avaliador ]],M:N,2,0)</f>
        <v>C</v>
      </c>
    </row>
    <row r="206" spans="1:11" x14ac:dyDescent="0.3">
      <c r="A206">
        <v>205</v>
      </c>
      <c r="B206" s="1">
        <v>45819.216493055603</v>
      </c>
      <c r="C206" s="1">
        <v>45819.218009259297</v>
      </c>
      <c r="D206" t="s">
        <v>26</v>
      </c>
      <c r="E206" t="s">
        <v>23</v>
      </c>
      <c r="G206" t="e">
        <f>VLOOKUP(F206,Produtos!A:B,2,FALSE)</f>
        <v>#N/A</v>
      </c>
      <c r="H206" t="s">
        <v>477</v>
      </c>
      <c r="I20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6" s="9" t="str">
        <f>VLOOKUP(Table1[[#This Row],[Área avaliada]],Endereços!A:B,2,0)</f>
        <v>Área Azul</v>
      </c>
      <c r="K206" t="str">
        <f>VLOOKUP(Table1[[#This Row],[Nome do avaliador ]],M:N,2,0)</f>
        <v>C</v>
      </c>
    </row>
    <row r="207" spans="1:11" x14ac:dyDescent="0.3">
      <c r="A207">
        <v>206</v>
      </c>
      <c r="B207" s="1">
        <v>45819.218067129601</v>
      </c>
      <c r="C207" s="1">
        <v>45819.219143518501</v>
      </c>
      <c r="D207" t="s">
        <v>26</v>
      </c>
      <c r="E207" t="s">
        <v>23</v>
      </c>
      <c r="G207" t="e">
        <f>VLOOKUP(F207,Produtos!A:B,2,FALSE)</f>
        <v>#N/A</v>
      </c>
      <c r="H207" t="s">
        <v>477</v>
      </c>
      <c r="I20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7" s="9" t="str">
        <f>VLOOKUP(Table1[[#This Row],[Área avaliada]],Endereços!A:B,2,0)</f>
        <v>Área Azul</v>
      </c>
      <c r="K207" t="str">
        <f>VLOOKUP(Table1[[#This Row],[Nome do avaliador ]],M:N,2,0)</f>
        <v>C</v>
      </c>
    </row>
    <row r="208" spans="1:11" x14ac:dyDescent="0.3">
      <c r="A208">
        <v>207</v>
      </c>
      <c r="B208" s="1">
        <v>45819.219189814801</v>
      </c>
      <c r="C208" s="1">
        <v>45819.220347222203</v>
      </c>
      <c r="D208" t="s">
        <v>26</v>
      </c>
      <c r="E208" t="s">
        <v>23</v>
      </c>
      <c r="F208" s="2">
        <v>7983</v>
      </c>
      <c r="G208" s="2" t="str">
        <f>VLOOKUP(F208,Produtos!A:B,2,FALSE)</f>
        <v>GATORADE MORANGO MARACUJA PET500ML SIXPA</v>
      </c>
      <c r="H208" t="s">
        <v>477</v>
      </c>
      <c r="I20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8" s="9" t="str">
        <f>VLOOKUP(Table1[[#This Row],[Área avaliada]],Endereços!A:B,2,0)</f>
        <v>Área Azul</v>
      </c>
      <c r="K208" t="str">
        <f>VLOOKUP(Table1[[#This Row],[Nome do avaliador ]],M:N,2,0)</f>
        <v>C</v>
      </c>
    </row>
    <row r="209" spans="1:11" x14ac:dyDescent="0.3">
      <c r="A209">
        <v>208</v>
      </c>
      <c r="B209" s="1">
        <v>45819.369027777801</v>
      </c>
      <c r="C209" s="1">
        <v>45819.370625000003</v>
      </c>
      <c r="D209" t="s">
        <v>19</v>
      </c>
      <c r="E209" t="s">
        <v>20</v>
      </c>
      <c r="F209" s="2">
        <v>9320</v>
      </c>
      <c r="G209" s="2" t="str">
        <f>VLOOKUP(F209,Produtos!A:B,2,FALSE)</f>
        <v>BRAHMA CHOPP LT 473ML SH C/12 NPAL</v>
      </c>
      <c r="H209" t="s">
        <v>482</v>
      </c>
      <c r="I20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9" s="9" t="str">
        <f>VLOOKUP(Table1[[#This Row],[Área avaliada]],Endereços!A:B,2,0)</f>
        <v>Área Azul</v>
      </c>
      <c r="K209" t="str">
        <f>VLOOKUP(Table1[[#This Row],[Nome do avaliador ]],M:N,2,0)</f>
        <v>A</v>
      </c>
    </row>
    <row r="210" spans="1:11" x14ac:dyDescent="0.3">
      <c r="A210">
        <v>209</v>
      </c>
      <c r="B210" s="1">
        <v>45819.371597222198</v>
      </c>
      <c r="C210" s="1">
        <v>45819.372175925899</v>
      </c>
      <c r="D210" t="s">
        <v>19</v>
      </c>
      <c r="E210" t="s">
        <v>23</v>
      </c>
      <c r="F210" s="2">
        <v>31272</v>
      </c>
      <c r="G210" s="2" t="str">
        <f>VLOOKUP(F210,Produtos!A:B,2,FALSE)</f>
        <v>FUSION LT 473ML SH C/12 NPAL</v>
      </c>
      <c r="H210" t="s">
        <v>475</v>
      </c>
      <c r="I21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0" s="9" t="str">
        <f>VLOOKUP(Table1[[#This Row],[Área avaliada]],Endereços!A:B,2,0)</f>
        <v>Área Azul</v>
      </c>
      <c r="K210" t="str">
        <f>VLOOKUP(Table1[[#This Row],[Nome do avaliador ]],M:N,2,0)</f>
        <v>A</v>
      </c>
    </row>
    <row r="211" spans="1:11" x14ac:dyDescent="0.3">
      <c r="A211">
        <v>210</v>
      </c>
      <c r="B211" s="1">
        <v>45819.373043981497</v>
      </c>
      <c r="C211" s="1">
        <v>45819.373969907399</v>
      </c>
      <c r="D211" t="s">
        <v>19</v>
      </c>
      <c r="E211" t="s">
        <v>23</v>
      </c>
      <c r="F211" s="2">
        <v>9096</v>
      </c>
      <c r="G211" s="2" t="str">
        <f>VLOOKUP(F211,Produtos!A:B,2,FALSE)</f>
        <v>PEPSI COLA LATA 350ML SH C/12 NPAL</v>
      </c>
      <c r="H211" t="s">
        <v>473</v>
      </c>
      <c r="I21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1" s="9" t="str">
        <f>VLOOKUP(Table1[[#This Row],[Área avaliada]],Endereços!A:B,2,0)</f>
        <v>Área Azul</v>
      </c>
      <c r="K211" t="str">
        <f>VLOOKUP(Table1[[#This Row],[Nome do avaliador ]],M:N,2,0)</f>
        <v>A</v>
      </c>
    </row>
    <row r="212" spans="1:11" x14ac:dyDescent="0.3">
      <c r="A212">
        <v>211</v>
      </c>
      <c r="B212" s="1">
        <v>45819.375208333302</v>
      </c>
      <c r="C212" s="1">
        <v>45819.376041666699</v>
      </c>
      <c r="D212" t="s">
        <v>19</v>
      </c>
      <c r="E212" t="s">
        <v>23</v>
      </c>
      <c r="F212" s="2">
        <v>9091</v>
      </c>
      <c r="G212" s="2" t="str">
        <f>VLOOKUP(F212,Produtos!A:B,2,FALSE)</f>
        <v>TONICA ANTARCTICA LT 350ML SH C/12 NPAL</v>
      </c>
      <c r="H212" t="s">
        <v>475</v>
      </c>
      <c r="I21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2" s="9" t="str">
        <f>VLOOKUP(Table1[[#This Row],[Área avaliada]],Endereços!A:B,2,0)</f>
        <v>Área Azul</v>
      </c>
      <c r="K212" t="str">
        <f>VLOOKUP(Table1[[#This Row],[Nome do avaliador ]],M:N,2,0)</f>
        <v>A</v>
      </c>
    </row>
    <row r="213" spans="1:11" x14ac:dyDescent="0.3">
      <c r="A213">
        <v>212</v>
      </c>
      <c r="B213" s="1">
        <v>45819.376296296301</v>
      </c>
      <c r="C213" s="1">
        <v>45819.376851851797</v>
      </c>
      <c r="D213" t="s">
        <v>19</v>
      </c>
      <c r="E213" t="s">
        <v>23</v>
      </c>
      <c r="F213" s="2">
        <v>21441</v>
      </c>
      <c r="G213" s="2" t="str">
        <f>VLOOKUP(F213,Produtos!A:B,2,FALSE)</f>
        <v>SUKITA LIMAO PET 2L CAIXA C/6</v>
      </c>
      <c r="H213" t="s">
        <v>473</v>
      </c>
      <c r="I21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3" s="9" t="str">
        <f>VLOOKUP(Table1[[#This Row],[Área avaliada]],Endereços!A:B,2,0)</f>
        <v>Área Azul</v>
      </c>
      <c r="K213" t="str">
        <f>VLOOKUP(Table1[[#This Row],[Nome do avaliador ]],M:N,2,0)</f>
        <v>A</v>
      </c>
    </row>
    <row r="214" spans="1:11" x14ac:dyDescent="0.3">
      <c r="A214">
        <v>213</v>
      </c>
      <c r="B214" s="1">
        <v>45819.3780555556</v>
      </c>
      <c r="C214" s="1">
        <v>45819.378645833298</v>
      </c>
      <c r="D214" t="s">
        <v>19</v>
      </c>
      <c r="E214" t="s">
        <v>23</v>
      </c>
      <c r="F214" s="2">
        <v>20498</v>
      </c>
      <c r="G214" s="2" t="str">
        <f>VLOOKUP(F214,Produtos!A:B,2,FALSE)</f>
        <v>BRAHMA DUPLO MALTE LT SLEEK 350ML SH C12</v>
      </c>
      <c r="H214" t="s">
        <v>475</v>
      </c>
      <c r="I21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4" s="9" t="str">
        <f>VLOOKUP(Table1[[#This Row],[Área avaliada]],Endereços!A:B,2,0)</f>
        <v>Área Azul</v>
      </c>
      <c r="K214" t="str">
        <f>VLOOKUP(Table1[[#This Row],[Nome do avaliador ]],M:N,2,0)</f>
        <v>A</v>
      </c>
    </row>
    <row r="215" spans="1:11" x14ac:dyDescent="0.3">
      <c r="A215">
        <v>214</v>
      </c>
      <c r="B215" s="1">
        <v>45819.418599536999</v>
      </c>
      <c r="C215" s="1">
        <v>45819.419212963003</v>
      </c>
      <c r="D215" t="s">
        <v>17</v>
      </c>
      <c r="E215" t="s">
        <v>23</v>
      </c>
      <c r="F215" s="2">
        <v>1898</v>
      </c>
      <c r="G215" s="2" t="str">
        <f>VLOOKUP(F215,Produtos!A:B,2,FALSE)</f>
        <v>BRAHMA CHOPP LT 269ML SH C/15 NPAL</v>
      </c>
      <c r="H215" t="s">
        <v>475</v>
      </c>
      <c r="I21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5" s="9" t="str">
        <f>VLOOKUP(Table1[[#This Row],[Área avaliada]],Endereços!A:B,2,0)</f>
        <v>Área Azul</v>
      </c>
      <c r="K215" t="s">
        <v>510</v>
      </c>
    </row>
    <row r="216" spans="1:11" x14ac:dyDescent="0.3">
      <c r="A216">
        <v>215</v>
      </c>
      <c r="B216" s="1">
        <v>45819.418969907398</v>
      </c>
      <c r="C216" s="1">
        <v>45819.419641203698</v>
      </c>
      <c r="D216" t="s">
        <v>19</v>
      </c>
      <c r="E216" t="s">
        <v>25</v>
      </c>
      <c r="F216" s="2">
        <v>9068</v>
      </c>
      <c r="G216" s="2" t="str">
        <f>VLOOKUP(F216,Produtos!A:B,2,FALSE)</f>
        <v>SKOL LATA 350ML SH C/12 NPAL</v>
      </c>
      <c r="H216" t="s">
        <v>482</v>
      </c>
      <c r="I21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6" s="9" t="str">
        <f>VLOOKUP(Table1[[#This Row],[Área avaliada]],Endereços!A:B,2,0)</f>
        <v>Área Azul</v>
      </c>
      <c r="K216" t="str">
        <f>VLOOKUP(Table1[[#This Row],[Nome do avaliador ]],M:N,2,0)</f>
        <v>A</v>
      </c>
    </row>
    <row r="217" spans="1:11" x14ac:dyDescent="0.3">
      <c r="A217">
        <v>216</v>
      </c>
      <c r="B217" s="1">
        <v>45819.419236111098</v>
      </c>
      <c r="C217" s="1">
        <v>45819.419872685197</v>
      </c>
      <c r="D217" t="s">
        <v>17</v>
      </c>
      <c r="E217" t="s">
        <v>23</v>
      </c>
      <c r="F217">
        <v>32969</v>
      </c>
      <c r="G217" t="str">
        <f>VLOOKUP(F217,Produtos!A:B,2,FALSE)</f>
        <v>RED BULL S MOR E PESSEGO LT 250ML FOUR P</v>
      </c>
      <c r="H217" t="s">
        <v>475</v>
      </c>
      <c r="I21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7" s="9" t="str">
        <f>VLOOKUP(Table1[[#This Row],[Área avaliada]],Endereços!A:B,2,0)</f>
        <v>Área Azul</v>
      </c>
      <c r="K217" t="s">
        <v>510</v>
      </c>
    </row>
    <row r="218" spans="1:11" x14ac:dyDescent="0.3">
      <c r="A218">
        <v>217</v>
      </c>
      <c r="B218" s="1">
        <v>45819.4198958333</v>
      </c>
      <c r="C218" s="1">
        <v>45819.420451388898</v>
      </c>
      <c r="D218" t="s">
        <v>17</v>
      </c>
      <c r="E218" t="s">
        <v>23</v>
      </c>
      <c r="F218" s="2">
        <v>19231</v>
      </c>
      <c r="G218" s="2" t="str">
        <f>VLOOKUP(F218,Produtos!A:B,2,FALSE)</f>
        <v>RED BULL SUGAR FREE LATA 250ML FOUR PACK</v>
      </c>
      <c r="H218" t="s">
        <v>475</v>
      </c>
      <c r="I21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8" s="9" t="str">
        <f>VLOOKUP(Table1[[#This Row],[Área avaliada]],Endereços!A:B,2,0)</f>
        <v>Área Azul</v>
      </c>
      <c r="K218" t="s">
        <v>510</v>
      </c>
    </row>
    <row r="219" spans="1:11" x14ac:dyDescent="0.3">
      <c r="A219">
        <v>218</v>
      </c>
      <c r="B219" s="1">
        <v>45819.423333333303</v>
      </c>
      <c r="C219" s="1">
        <v>45819.424108796302</v>
      </c>
      <c r="D219" t="s">
        <v>19</v>
      </c>
      <c r="E219" t="s">
        <v>23</v>
      </c>
      <c r="F219" s="2">
        <v>503</v>
      </c>
      <c r="G219" s="2" t="str">
        <f>VLOOKUP(F219,Produtos!A:B,2,FALSE)</f>
        <v>SUKITA PET 2L CAIXA C/6</v>
      </c>
      <c r="H219" t="s">
        <v>474</v>
      </c>
      <c r="I21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9" s="9" t="str">
        <f>VLOOKUP(Table1[[#This Row],[Área avaliada]],Endereços!A:B,2,0)</f>
        <v>Área Azul</v>
      </c>
      <c r="K219" t="str">
        <f>VLOOKUP(Table1[[#This Row],[Nome do avaliador ]],M:N,2,0)</f>
        <v>A</v>
      </c>
    </row>
    <row r="220" spans="1:11" x14ac:dyDescent="0.3">
      <c r="A220">
        <v>219</v>
      </c>
      <c r="B220" s="1">
        <v>45819.424942129597</v>
      </c>
      <c r="C220" s="1">
        <v>45819.425810185203</v>
      </c>
      <c r="D220" t="s">
        <v>17</v>
      </c>
      <c r="E220" t="s">
        <v>23</v>
      </c>
      <c r="F220" s="2">
        <v>26462</v>
      </c>
      <c r="G220" s="2" t="str">
        <f>VLOOKUP(F220,Produtos!A:B,2,FALSE)</f>
        <v>ORIGINAL LT 473ML CX CARTAO C/12</v>
      </c>
      <c r="H220" t="s">
        <v>475</v>
      </c>
      <c r="I22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0" s="9" t="str">
        <f>VLOOKUP(Table1[[#This Row],[Área avaliada]],Endereços!A:B,2,0)</f>
        <v>Área Azul</v>
      </c>
      <c r="K220" t="s">
        <v>510</v>
      </c>
    </row>
    <row r="221" spans="1:11" x14ac:dyDescent="0.3">
      <c r="A221">
        <v>220</v>
      </c>
      <c r="B221" s="1">
        <v>45820.338043981501</v>
      </c>
      <c r="C221" s="1">
        <v>45820.338668981502</v>
      </c>
      <c r="D221" t="s">
        <v>19</v>
      </c>
      <c r="E221" t="s">
        <v>23</v>
      </c>
      <c r="F221" s="2">
        <v>9067</v>
      </c>
      <c r="G221" s="2" t="str">
        <f>VLOOKUP(F221,Produtos!A:B,2,FALSE)</f>
        <v>ANTARCTICA PILSEN LATA 350ML SH C/12 NPA</v>
      </c>
      <c r="H221" t="s">
        <v>473</v>
      </c>
      <c r="I22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1" s="9" t="str">
        <f>VLOOKUP(Table1[[#This Row],[Área avaliada]],Endereços!A:B,2,0)</f>
        <v>Área Azul</v>
      </c>
      <c r="K221" t="str">
        <f>VLOOKUP(Table1[[#This Row],[Nome do avaliador ]],M:N,2,0)</f>
        <v>A</v>
      </c>
    </row>
    <row r="222" spans="1:11" x14ac:dyDescent="0.3">
      <c r="A222">
        <v>221</v>
      </c>
      <c r="B222" s="1">
        <v>45820.3415046296</v>
      </c>
      <c r="C222" s="1">
        <v>45820.342256944401</v>
      </c>
      <c r="D222" t="s">
        <v>19</v>
      </c>
      <c r="E222" t="s">
        <v>23</v>
      </c>
      <c r="F222" s="2">
        <v>9071</v>
      </c>
      <c r="G222" s="2" t="str">
        <f>VLOOKUP(F222,Produtos!A:B,2,FALSE)</f>
        <v>CARACU LATA 350ML SH C/12 NPAL</v>
      </c>
      <c r="H222" t="s">
        <v>475</v>
      </c>
      <c r="I22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2" s="9" t="str">
        <f>VLOOKUP(Table1[[#This Row],[Área avaliada]],Endereços!A:B,2,0)</f>
        <v>Área Azul</v>
      </c>
      <c r="K222" t="str">
        <f>VLOOKUP(Table1[[#This Row],[Nome do avaliador ]],M:N,2,0)</f>
        <v>A</v>
      </c>
    </row>
    <row r="223" spans="1:11" x14ac:dyDescent="0.3">
      <c r="A223">
        <v>222</v>
      </c>
      <c r="B223" s="1">
        <v>45820.3429398148</v>
      </c>
      <c r="C223" s="1">
        <v>45820.343634259298</v>
      </c>
      <c r="D223" t="s">
        <v>19</v>
      </c>
      <c r="E223" t="s">
        <v>23</v>
      </c>
      <c r="F223" s="2">
        <v>23216</v>
      </c>
      <c r="G223" s="2" t="str">
        <f>VLOOKUP(F223,Produtos!A:B,2,FALSE)</f>
        <v>PATAGONIA IPA LATA 473ML 6PACK CARTAO</v>
      </c>
      <c r="H223" t="s">
        <v>482</v>
      </c>
      <c r="I22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3" s="9" t="str">
        <f>VLOOKUP(Table1[[#This Row],[Área avaliada]],Endereços!A:B,2,0)</f>
        <v>Área Azul</v>
      </c>
      <c r="K223" t="str">
        <f>VLOOKUP(Table1[[#This Row],[Nome do avaliador ]],M:N,2,0)</f>
        <v>A</v>
      </c>
    </row>
    <row r="224" spans="1:11" x14ac:dyDescent="0.3">
      <c r="A224">
        <v>223</v>
      </c>
      <c r="B224" s="1">
        <v>45820.347152777802</v>
      </c>
      <c r="C224" s="1">
        <v>45820.347847222198</v>
      </c>
      <c r="D224" t="s">
        <v>19</v>
      </c>
      <c r="E224" t="s">
        <v>25</v>
      </c>
      <c r="F224" s="2">
        <v>17797</v>
      </c>
      <c r="G224" s="2" t="str">
        <f>VLOOKUP(F224,Produtos!A:B,2,FALSE)</f>
        <v>BRAHMA CHOPP LATA 350ML SH 18 MULTIPACK</v>
      </c>
      <c r="H224" t="s">
        <v>473</v>
      </c>
      <c r="I22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4" s="9" t="str">
        <f>VLOOKUP(Table1[[#This Row],[Área avaliada]],Endereços!A:B,2,0)</f>
        <v>Área Azul</v>
      </c>
      <c r="K224" t="str">
        <f>VLOOKUP(Table1[[#This Row],[Nome do avaliador ]],M:N,2,0)</f>
        <v>A</v>
      </c>
    </row>
    <row r="225" spans="1:11" x14ac:dyDescent="0.3">
      <c r="A225">
        <v>224</v>
      </c>
      <c r="B225" s="1">
        <v>45820.349745370397</v>
      </c>
      <c r="C225" s="1">
        <v>45820.350312499999</v>
      </c>
      <c r="D225" t="s">
        <v>17</v>
      </c>
      <c r="E225" t="s">
        <v>23</v>
      </c>
      <c r="F225" s="2">
        <v>8411</v>
      </c>
      <c r="G225" s="2" t="str">
        <f>VLOOKUP(F225,Produtos!A:B,2,FALSE)</f>
        <v>GUARANA CHP ANTARCTICA PET 1,5L SH C/6</v>
      </c>
      <c r="H225" t="s">
        <v>475</v>
      </c>
      <c r="I22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5" s="9" t="str">
        <f>VLOOKUP(Table1[[#This Row],[Área avaliada]],Endereços!A:B,2,0)</f>
        <v>Área Azul</v>
      </c>
      <c r="K225" t="s">
        <v>510</v>
      </c>
    </row>
    <row r="226" spans="1:11" x14ac:dyDescent="0.3">
      <c r="A226">
        <v>225</v>
      </c>
      <c r="B226" s="1">
        <v>45820.603217592601</v>
      </c>
      <c r="C226" s="1">
        <v>45820.603935185201</v>
      </c>
      <c r="D226" t="s">
        <v>17</v>
      </c>
      <c r="E226" t="s">
        <v>23</v>
      </c>
      <c r="F226" s="2">
        <v>9071</v>
      </c>
      <c r="G226" s="2" t="str">
        <f>VLOOKUP(F226,Produtos!A:B,2,FALSE)</f>
        <v>CARACU LATA 350ML SH C/12 NPAL</v>
      </c>
      <c r="H226" t="s">
        <v>475</v>
      </c>
      <c r="I22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6" s="9" t="str">
        <f>VLOOKUP(Table1[[#This Row],[Área avaliada]],Endereços!A:B,2,0)</f>
        <v>Área Azul</v>
      </c>
      <c r="K226" t="s">
        <v>510</v>
      </c>
    </row>
    <row r="227" spans="1:11" x14ac:dyDescent="0.3">
      <c r="A227">
        <v>226</v>
      </c>
      <c r="B227" s="1">
        <v>45821.371504629598</v>
      </c>
      <c r="C227" s="1">
        <v>45821.372152777803</v>
      </c>
      <c r="D227" t="s">
        <v>19</v>
      </c>
      <c r="E227" t="s">
        <v>23</v>
      </c>
      <c r="F227" s="2">
        <v>4409</v>
      </c>
      <c r="G227" s="2" t="str">
        <f>VLOOKUP(F227,Produtos!A:B,2,FALSE)</f>
        <v>PEPSI TWIST PET 2L SHRINK C/6</v>
      </c>
      <c r="H227" t="s">
        <v>478</v>
      </c>
      <c r="I22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7" s="9" t="str">
        <f>VLOOKUP(Table1[[#This Row],[Área avaliada]],Endereços!A:B,2,0)</f>
        <v>Área Azul</v>
      </c>
      <c r="K227" t="str">
        <f>VLOOKUP(Table1[[#This Row],[Nome do avaliador ]],M:N,2,0)</f>
        <v>A</v>
      </c>
    </row>
    <row r="228" spans="1:11" x14ac:dyDescent="0.3">
      <c r="A228">
        <v>227</v>
      </c>
      <c r="B228" s="1">
        <v>45821.371805555602</v>
      </c>
      <c r="C228" s="1">
        <v>45821.372349537</v>
      </c>
      <c r="D228" t="s">
        <v>17</v>
      </c>
      <c r="E228" t="s">
        <v>23</v>
      </c>
      <c r="F228" s="2">
        <v>4293</v>
      </c>
      <c r="G228" s="2" t="str">
        <f>VLOOKUP(F228,Produtos!A:B,2,FALSE)</f>
        <v>PEPSI BLACK PET 200ML SH C/12</v>
      </c>
      <c r="H228" t="s">
        <v>475</v>
      </c>
      <c r="I22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8" s="9" t="str">
        <f>VLOOKUP(Table1[[#This Row],[Área avaliada]],Endereços!A:B,2,0)</f>
        <v>Área Azul</v>
      </c>
      <c r="K228" t="s">
        <v>510</v>
      </c>
    </row>
    <row r="229" spans="1:11" x14ac:dyDescent="0.3">
      <c r="A229">
        <v>228</v>
      </c>
      <c r="B229" s="1">
        <v>45821.373194444401</v>
      </c>
      <c r="C229" s="1">
        <v>45821.373773148101</v>
      </c>
      <c r="D229" t="s">
        <v>19</v>
      </c>
      <c r="E229" t="s">
        <v>20</v>
      </c>
      <c r="F229" s="2">
        <v>9320</v>
      </c>
      <c r="G229" s="2" t="str">
        <f>VLOOKUP(F229,Produtos!A:B,2,FALSE)</f>
        <v>BRAHMA CHOPP LT 473ML SH C/12 NPAL</v>
      </c>
      <c r="H229" t="s">
        <v>475</v>
      </c>
      <c r="I22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9" s="9" t="str">
        <f>VLOOKUP(Table1[[#This Row],[Área avaliada]],Endereços!A:B,2,0)</f>
        <v>Área Azul</v>
      </c>
      <c r="K229" t="str">
        <f>VLOOKUP(Table1[[#This Row],[Nome do avaliador ]],M:N,2,0)</f>
        <v>A</v>
      </c>
    </row>
    <row r="230" spans="1:11" x14ac:dyDescent="0.3">
      <c r="A230">
        <v>229</v>
      </c>
      <c r="B230" s="1">
        <v>45821.813946759299</v>
      </c>
      <c r="C230" s="1">
        <v>45821.814733796302</v>
      </c>
      <c r="D230" t="s">
        <v>28</v>
      </c>
      <c r="E230" t="s">
        <v>12</v>
      </c>
      <c r="G230" t="e">
        <f>VLOOKUP(F230,Produtos!A:B,2,FALSE)</f>
        <v>#N/A</v>
      </c>
      <c r="H230" t="s">
        <v>480</v>
      </c>
      <c r="I23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0" s="9" t="str">
        <f>VLOOKUP(Table1[[#This Row],[Área avaliada]],Endereços!A:B,2,0)</f>
        <v>Área Verde</v>
      </c>
      <c r="K230" t="str">
        <f>VLOOKUP(Table1[[#This Row],[Nome do avaliador ]],M:N,2,0)</f>
        <v>A</v>
      </c>
    </row>
    <row r="231" spans="1:11" x14ac:dyDescent="0.3">
      <c r="A231">
        <v>230</v>
      </c>
      <c r="B231" s="1">
        <v>45822.259166666699</v>
      </c>
      <c r="C231" s="1">
        <v>45822.259861111103</v>
      </c>
      <c r="D231" t="s">
        <v>17</v>
      </c>
      <c r="E231" t="s">
        <v>20</v>
      </c>
      <c r="F231" s="2">
        <v>9085</v>
      </c>
      <c r="G231" s="2" t="str">
        <f>VLOOKUP(F231,Produtos!A:B,2,FALSE)</f>
        <v>GUARANA CHP ANTARCT DIET LT350ML SHC/12</v>
      </c>
      <c r="H231" t="s">
        <v>475</v>
      </c>
      <c r="I23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1" s="9" t="str">
        <f>VLOOKUP(Table1[[#This Row],[Área avaliada]],Endereços!A:B,2,0)</f>
        <v>Área Azul</v>
      </c>
      <c r="K231" t="s">
        <v>510</v>
      </c>
    </row>
    <row r="232" spans="1:11" x14ac:dyDescent="0.3">
      <c r="A232">
        <v>231</v>
      </c>
      <c r="B232" s="1">
        <v>45822.259166666699</v>
      </c>
      <c r="C232" s="1">
        <v>45822.260358796302</v>
      </c>
      <c r="D232" t="s">
        <v>19</v>
      </c>
      <c r="E232" t="s">
        <v>20</v>
      </c>
      <c r="F232" s="2">
        <v>2349</v>
      </c>
      <c r="G232" s="2" t="str">
        <f>VLOOKUP(F232,Produtos!A:B,2,FALSE)</f>
        <v>GUARANA CHP ANTARCTICA PET 2L CAIXA C/6</v>
      </c>
      <c r="H232" t="s">
        <v>482</v>
      </c>
      <c r="I23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2" s="9" t="str">
        <f>VLOOKUP(Table1[[#This Row],[Área avaliada]],Endereços!A:B,2,0)</f>
        <v>Área Azul</v>
      </c>
      <c r="K232" t="str">
        <f>VLOOKUP(Table1[[#This Row],[Nome do avaliador ]],M:N,2,0)</f>
        <v>A</v>
      </c>
    </row>
    <row r="233" spans="1:11" x14ac:dyDescent="0.3">
      <c r="A233">
        <v>232</v>
      </c>
      <c r="B233" s="1">
        <v>45822.266805555599</v>
      </c>
      <c r="C233" s="1">
        <v>45822.267407407402</v>
      </c>
      <c r="D233" t="s">
        <v>17</v>
      </c>
      <c r="E233" t="s">
        <v>20</v>
      </c>
      <c r="F233" s="2">
        <v>32969</v>
      </c>
      <c r="G233" s="2" t="str">
        <f>VLOOKUP(F233,Produtos!A:B,2,FALSE)</f>
        <v>RED BULL S MOR E PESSEGO LT 250ML FOUR P</v>
      </c>
      <c r="H233" t="s">
        <v>475</v>
      </c>
      <c r="I23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3" s="9" t="str">
        <f>VLOOKUP(Table1[[#This Row],[Área avaliada]],Endereços!A:B,2,0)</f>
        <v>Área Azul</v>
      </c>
      <c r="K233" t="s">
        <v>510</v>
      </c>
    </row>
    <row r="234" spans="1:11" x14ac:dyDescent="0.3">
      <c r="A234">
        <v>233</v>
      </c>
      <c r="B234" s="1">
        <v>45822.2711921296</v>
      </c>
      <c r="C234" s="1">
        <v>45822.271724537</v>
      </c>
      <c r="D234" t="s">
        <v>17</v>
      </c>
      <c r="E234" t="s">
        <v>25</v>
      </c>
      <c r="F234" s="2">
        <v>21020</v>
      </c>
      <c r="G234" s="2" t="str">
        <f>VLOOKUP(F234,Produtos!A:B,2,FALSE)</f>
        <v>BUDWEISER LT SLEEK 350ML CX CART C12</v>
      </c>
      <c r="H234" t="s">
        <v>475</v>
      </c>
      <c r="I23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4" s="9" t="str">
        <f>VLOOKUP(Table1[[#This Row],[Área avaliada]],Endereços!A:B,2,0)</f>
        <v>Área Azul</v>
      </c>
      <c r="K234" t="s">
        <v>510</v>
      </c>
    </row>
    <row r="235" spans="1:11" x14ac:dyDescent="0.3">
      <c r="A235">
        <v>234</v>
      </c>
      <c r="B235" s="1">
        <v>45822.531064814801</v>
      </c>
      <c r="C235" s="1">
        <v>45822.531944444403</v>
      </c>
      <c r="D235" t="s">
        <v>19</v>
      </c>
      <c r="E235" t="s">
        <v>20</v>
      </c>
      <c r="F235" s="2">
        <v>9085</v>
      </c>
      <c r="G235" s="2" t="str">
        <f>VLOOKUP(F235,Produtos!A:B,2,FALSE)</f>
        <v>GUARANA CHP ANTARCT DIET LT350ML SHC/12</v>
      </c>
      <c r="H235" t="s">
        <v>473</v>
      </c>
      <c r="I23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5" s="9" t="str">
        <f>VLOOKUP(Table1[[#This Row],[Área avaliada]],Endereços!A:B,2,0)</f>
        <v>Área Azul</v>
      </c>
      <c r="K235" t="str">
        <f>VLOOKUP(Table1[[#This Row],[Nome do avaliador ]],M:N,2,0)</f>
        <v>A</v>
      </c>
    </row>
    <row r="236" spans="1:11" x14ac:dyDescent="0.3">
      <c r="A236">
        <v>235</v>
      </c>
      <c r="B236" s="1">
        <v>45824.395405092597</v>
      </c>
      <c r="C236" s="1">
        <v>45824.395879629599</v>
      </c>
      <c r="D236" t="s">
        <v>19</v>
      </c>
      <c r="E236" t="s">
        <v>23</v>
      </c>
      <c r="F236" s="2">
        <v>9091</v>
      </c>
      <c r="G236" s="2" t="str">
        <f>VLOOKUP(F236,Produtos!A:B,2,FALSE)</f>
        <v>TONICA ANTARCTICA LT 350ML SH C/12 NPAL</v>
      </c>
      <c r="H236" t="s">
        <v>482</v>
      </c>
      <c r="I23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6" s="9" t="str">
        <f>VLOOKUP(Table1[[#This Row],[Área avaliada]],Endereços!A:B,2,0)</f>
        <v>Área Azul</v>
      </c>
      <c r="K236" t="str">
        <f>VLOOKUP(Table1[[#This Row],[Nome do avaliador ]],M:N,2,0)</f>
        <v>A</v>
      </c>
    </row>
    <row r="237" spans="1:11" x14ac:dyDescent="0.3">
      <c r="A237">
        <v>236</v>
      </c>
      <c r="B237" s="1">
        <v>45824.397002314799</v>
      </c>
      <c r="C237" s="1">
        <v>45824.397615740701</v>
      </c>
      <c r="D237" t="s">
        <v>19</v>
      </c>
      <c r="E237" t="s">
        <v>23</v>
      </c>
      <c r="F237" s="2">
        <v>9274</v>
      </c>
      <c r="G237" s="2" t="str">
        <f>VLOOKUP(F237,Produtos!A:B,2,FALSE)</f>
        <v>PEPSI ZERO LATA 350ML SH C/12 NPAL</v>
      </c>
      <c r="H237" t="s">
        <v>473</v>
      </c>
      <c r="I23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7" s="9" t="str">
        <f>VLOOKUP(Table1[[#This Row],[Área avaliada]],Endereços!A:B,2,0)</f>
        <v>Área Azul</v>
      </c>
      <c r="K237" t="str">
        <f>VLOOKUP(Table1[[#This Row],[Nome do avaliador ]],M:N,2,0)</f>
        <v>A</v>
      </c>
    </row>
    <row r="238" spans="1:11" x14ac:dyDescent="0.3">
      <c r="A238">
        <v>237</v>
      </c>
      <c r="B238" s="1">
        <v>45824.402256944399</v>
      </c>
      <c r="C238" s="1">
        <v>45824.402858796297</v>
      </c>
      <c r="D238" t="s">
        <v>19</v>
      </c>
      <c r="E238" t="s">
        <v>20</v>
      </c>
      <c r="F238" s="2">
        <v>33818</v>
      </c>
      <c r="G238" s="2" t="str">
        <f>VLOOKUP(F238,Produtos!A:B,2,FALSE)</f>
        <v>ORIGINAL LT 350ML SH C/12 NP MULTIPACK</v>
      </c>
      <c r="H238" t="s">
        <v>475</v>
      </c>
      <c r="I23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8" s="9" t="str">
        <f>VLOOKUP(Table1[[#This Row],[Área avaliada]],Endereços!A:B,2,0)</f>
        <v>Área Azul</v>
      </c>
      <c r="K238" t="str">
        <f>VLOOKUP(Table1[[#This Row],[Nome do avaliador ]],M:N,2,0)</f>
        <v>A</v>
      </c>
    </row>
    <row r="239" spans="1:11" x14ac:dyDescent="0.3">
      <c r="A239">
        <v>238</v>
      </c>
      <c r="B239" s="1">
        <v>45824.407199074099</v>
      </c>
      <c r="C239" s="1">
        <v>45824.408159722203</v>
      </c>
      <c r="D239" t="s">
        <v>19</v>
      </c>
      <c r="E239" t="s">
        <v>20</v>
      </c>
      <c r="F239" s="2">
        <v>32969</v>
      </c>
      <c r="G239" s="2" t="str">
        <f>VLOOKUP(F239,Produtos!A:B,2,FALSE)</f>
        <v>RED BULL S MOR E PESSEGO LT 250ML FOUR P</v>
      </c>
      <c r="H239" t="s">
        <v>475</v>
      </c>
      <c r="I23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9" s="9" t="str">
        <f>VLOOKUP(Table1[[#This Row],[Área avaliada]],Endereços!A:B,2,0)</f>
        <v>Área Azul</v>
      </c>
      <c r="K239" t="str">
        <f>VLOOKUP(Table1[[#This Row],[Nome do avaliador ]],M:N,2,0)</f>
        <v>A</v>
      </c>
    </row>
    <row r="240" spans="1:11" x14ac:dyDescent="0.3">
      <c r="A240">
        <v>239</v>
      </c>
      <c r="B240" s="1">
        <v>45824.622199074103</v>
      </c>
      <c r="C240" s="1">
        <v>45824.623171296298</v>
      </c>
      <c r="D240" t="s">
        <v>21</v>
      </c>
      <c r="E240" t="s">
        <v>14</v>
      </c>
      <c r="G240" t="e">
        <f>VLOOKUP(F240,Produtos!A:B,2,FALSE)</f>
        <v>#N/A</v>
      </c>
      <c r="H240" t="s">
        <v>477</v>
      </c>
      <c r="I24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0" s="9" t="str">
        <f>VLOOKUP(Table1[[#This Row],[Área avaliada]],Endereços!A:B,2,0)</f>
        <v>Picking Baixo Giro</v>
      </c>
      <c r="K240" t="str">
        <f>VLOOKUP(Table1[[#This Row],[Nome do avaliador ]],M:N,2,0)</f>
        <v>B</v>
      </c>
    </row>
    <row r="241" spans="1:11" x14ac:dyDescent="0.3">
      <c r="A241">
        <v>240</v>
      </c>
      <c r="B241" s="1">
        <v>45825.354745370401</v>
      </c>
      <c r="C241" s="1">
        <v>45825.355243055601</v>
      </c>
      <c r="D241" t="s">
        <v>17</v>
      </c>
      <c r="E241" t="s">
        <v>23</v>
      </c>
      <c r="F241" s="2">
        <v>9067</v>
      </c>
      <c r="G241" s="2" t="str">
        <f>VLOOKUP(F241,Produtos!A:B,2,FALSE)</f>
        <v>ANTARCTICA PILSEN LATA 350ML SH C/12 NPA</v>
      </c>
      <c r="H241" t="s">
        <v>475</v>
      </c>
      <c r="I24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1" s="9" t="str">
        <f>VLOOKUP(Table1[[#This Row],[Área avaliada]],Endereços!A:B,2,0)</f>
        <v>Área Azul</v>
      </c>
      <c r="K241" t="s">
        <v>510</v>
      </c>
    </row>
    <row r="242" spans="1:11" x14ac:dyDescent="0.3">
      <c r="A242">
        <v>241</v>
      </c>
      <c r="B242" s="1">
        <v>45825.355729166702</v>
      </c>
      <c r="C242" s="1">
        <v>45825.356400463003</v>
      </c>
      <c r="D242" t="s">
        <v>17</v>
      </c>
      <c r="E242" t="s">
        <v>23</v>
      </c>
      <c r="F242" s="2">
        <v>18807</v>
      </c>
      <c r="G242" s="2" t="str">
        <f>VLOOKUP(F242,Produtos!A:B,2,FALSE)</f>
        <v>STELLA ARTOIS LN 330ML 6PACK SHR C 4</v>
      </c>
      <c r="H242" t="s">
        <v>475</v>
      </c>
      <c r="I24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2" s="9" t="str">
        <f>VLOOKUP(Table1[[#This Row],[Área avaliada]],Endereços!A:B,2,0)</f>
        <v>Área Azul</v>
      </c>
      <c r="K242" t="s">
        <v>510</v>
      </c>
    </row>
    <row r="243" spans="1:11" x14ac:dyDescent="0.3">
      <c r="A243">
        <v>242</v>
      </c>
      <c r="B243" s="1">
        <v>45825.358078703699</v>
      </c>
      <c r="C243" s="1">
        <v>45825.358541666697</v>
      </c>
      <c r="D243" t="s">
        <v>17</v>
      </c>
      <c r="E243" t="s">
        <v>20</v>
      </c>
      <c r="F243" s="2">
        <v>9320</v>
      </c>
      <c r="G243" s="2" t="str">
        <f>VLOOKUP(F243,Produtos!A:B,2,FALSE)</f>
        <v>BRAHMA CHOPP LT 473ML SH C/12 NPAL</v>
      </c>
      <c r="H243" t="s">
        <v>475</v>
      </c>
      <c r="I24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3" s="9" t="str">
        <f>VLOOKUP(Table1[[#This Row],[Área avaliada]],Endereços!A:B,2,0)</f>
        <v>Área Azul</v>
      </c>
      <c r="K243" t="s">
        <v>510</v>
      </c>
    </row>
    <row r="244" spans="1:11" x14ac:dyDescent="0.3">
      <c r="A244">
        <v>243</v>
      </c>
      <c r="B244" s="1">
        <v>45825.3584722222</v>
      </c>
      <c r="C244" s="1">
        <v>45825.359224537002</v>
      </c>
      <c r="D244" t="s">
        <v>19</v>
      </c>
      <c r="E244" t="s">
        <v>23</v>
      </c>
      <c r="F244" s="2">
        <v>9068</v>
      </c>
      <c r="G244" s="2" t="str">
        <f>VLOOKUP(F244,Produtos!A:B,2,FALSE)</f>
        <v>SKOL LATA 350ML SH C/12 NPAL</v>
      </c>
      <c r="H244" t="s">
        <v>475</v>
      </c>
      <c r="I24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4" s="9" t="str">
        <f>VLOOKUP(Table1[[#This Row],[Área avaliada]],Endereços!A:B,2,0)</f>
        <v>Área Azul</v>
      </c>
      <c r="K244" t="str">
        <f>VLOOKUP(Table1[[#This Row],[Nome do avaliador ]],M:N,2,0)</f>
        <v>A</v>
      </c>
    </row>
    <row r="245" spans="1:11" x14ac:dyDescent="0.3">
      <c r="A245">
        <v>244</v>
      </c>
      <c r="B245" s="1">
        <v>45825.359803240703</v>
      </c>
      <c r="C245" s="1">
        <v>45825.360393518502</v>
      </c>
      <c r="D245" t="s">
        <v>19</v>
      </c>
      <c r="E245" t="s">
        <v>25</v>
      </c>
      <c r="F245" s="2">
        <v>19310</v>
      </c>
      <c r="G245" s="2" t="str">
        <f>VLOOKUP(F245,Produtos!A:B,2,FALSE)</f>
        <v>ORIGINAL LATA 350ML CX CARTAO C/12 NPAL</v>
      </c>
      <c r="H245" t="s">
        <v>482</v>
      </c>
      <c r="I24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5" s="9" t="str">
        <f>VLOOKUP(Table1[[#This Row],[Área avaliada]],Endereços!A:B,2,0)</f>
        <v>Área Azul</v>
      </c>
      <c r="K245" t="str">
        <f>VLOOKUP(Table1[[#This Row],[Nome do avaliador ]],M:N,2,0)</f>
        <v>A</v>
      </c>
    </row>
    <row r="246" spans="1:11" x14ac:dyDescent="0.3">
      <c r="A246">
        <v>245</v>
      </c>
      <c r="B246" s="1">
        <v>45825.3616666667</v>
      </c>
      <c r="C246" s="1">
        <v>45825.362245370401</v>
      </c>
      <c r="D246" t="s">
        <v>19</v>
      </c>
      <c r="E246" t="s">
        <v>25</v>
      </c>
      <c r="F246" s="2">
        <v>9084</v>
      </c>
      <c r="G246" s="2" t="str">
        <f>VLOOKUP(F246,Produtos!A:B,2,FALSE)</f>
        <v>GUARANA CHP ANTARCT LT350ML SH C/12 NPAL</v>
      </c>
      <c r="H246" t="s">
        <v>482</v>
      </c>
      <c r="I24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6" s="9" t="str">
        <f>VLOOKUP(Table1[[#This Row],[Área avaliada]],Endereços!A:B,2,0)</f>
        <v>Área Azul</v>
      </c>
      <c r="K246" t="str">
        <f>VLOOKUP(Table1[[#This Row],[Nome do avaliador ]],M:N,2,0)</f>
        <v>A</v>
      </c>
    </row>
    <row r="247" spans="1:11" x14ac:dyDescent="0.3">
      <c r="A247">
        <v>246</v>
      </c>
      <c r="B247" s="1">
        <v>45826.386111111096</v>
      </c>
      <c r="C247" s="1">
        <v>45826.386608796303</v>
      </c>
      <c r="D247" t="s">
        <v>17</v>
      </c>
      <c r="E247" t="s">
        <v>23</v>
      </c>
      <c r="F247" s="2">
        <v>9274</v>
      </c>
      <c r="G247" s="2" t="str">
        <f>VLOOKUP(F247,Produtos!A:B,2,FALSE)</f>
        <v>PEPSI ZERO LATA 350ML SH C/12 NPAL</v>
      </c>
      <c r="H247" t="s">
        <v>475</v>
      </c>
      <c r="I24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7" s="9" t="str">
        <f>VLOOKUP(Table1[[#This Row],[Área avaliada]],Endereços!A:B,2,0)</f>
        <v>Área Azul</v>
      </c>
      <c r="K247" t="s">
        <v>510</v>
      </c>
    </row>
    <row r="248" spans="1:11" x14ac:dyDescent="0.3">
      <c r="A248">
        <v>247</v>
      </c>
      <c r="B248" s="1">
        <v>45826.386736111097</v>
      </c>
      <c r="C248" s="1">
        <v>45826.387418981503</v>
      </c>
      <c r="D248" t="s">
        <v>17</v>
      </c>
      <c r="E248" t="s">
        <v>23</v>
      </c>
      <c r="F248" s="2">
        <v>9274</v>
      </c>
      <c r="G248" s="2" t="str">
        <f>VLOOKUP(F248,Produtos!A:B,2,FALSE)</f>
        <v>PEPSI ZERO LATA 350ML SH C/12 NPAL</v>
      </c>
      <c r="H248" t="s">
        <v>475</v>
      </c>
      <c r="I24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8" s="9" t="str">
        <f>VLOOKUP(Table1[[#This Row],[Área avaliada]],Endereços!A:B,2,0)</f>
        <v>Área Azul</v>
      </c>
      <c r="K248" t="s">
        <v>510</v>
      </c>
    </row>
    <row r="249" spans="1:11" x14ac:dyDescent="0.3">
      <c r="A249">
        <v>248</v>
      </c>
      <c r="B249" s="1">
        <v>45826.415706018503</v>
      </c>
      <c r="C249" s="1">
        <v>45826.416273148097</v>
      </c>
      <c r="D249" t="s">
        <v>19</v>
      </c>
      <c r="E249" t="s">
        <v>23</v>
      </c>
      <c r="F249" s="2">
        <v>17725</v>
      </c>
      <c r="G249" s="2" t="str">
        <f>VLOOKUP(F249,Produtos!A:B,2,FALSE)</f>
        <v>ANTARCTICA PILSEN LT 350ML SH C/18 MULTP</v>
      </c>
      <c r="H249" t="s">
        <v>482</v>
      </c>
      <c r="I24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9" s="9" t="str">
        <f>VLOOKUP(Table1[[#This Row],[Área avaliada]],Endereços!A:B,2,0)</f>
        <v>Área Azul</v>
      </c>
      <c r="K249" t="str">
        <f>VLOOKUP(Table1[[#This Row],[Nome do avaliador ]],M:N,2,0)</f>
        <v>A</v>
      </c>
    </row>
    <row r="250" spans="1:11" x14ac:dyDescent="0.3">
      <c r="A250">
        <v>249</v>
      </c>
      <c r="B250" s="1">
        <v>45826.417349536998</v>
      </c>
      <c r="C250" s="1">
        <v>45826.417847222197</v>
      </c>
      <c r="D250" t="s">
        <v>19</v>
      </c>
      <c r="E250" t="s">
        <v>23</v>
      </c>
      <c r="F250" s="2">
        <v>20498</v>
      </c>
      <c r="G250" s="2" t="str">
        <f>VLOOKUP(F250,Produtos!A:B,2,FALSE)</f>
        <v>BRAHMA DUPLO MALTE LT SLEEK 350ML SH C12</v>
      </c>
      <c r="H250" t="s">
        <v>482</v>
      </c>
      <c r="I25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0" s="9" t="str">
        <f>VLOOKUP(Table1[[#This Row],[Área avaliada]],Endereços!A:B,2,0)</f>
        <v>Área Azul</v>
      </c>
      <c r="K250" t="str">
        <f>VLOOKUP(Table1[[#This Row],[Nome do avaliador ]],M:N,2,0)</f>
        <v>A</v>
      </c>
    </row>
    <row r="251" spans="1:11" x14ac:dyDescent="0.3">
      <c r="A251">
        <v>250</v>
      </c>
      <c r="B251" s="1">
        <v>45826.419004629599</v>
      </c>
      <c r="C251" s="1">
        <v>45826.419618055603</v>
      </c>
      <c r="D251" t="s">
        <v>19</v>
      </c>
      <c r="E251" t="s">
        <v>23</v>
      </c>
      <c r="F251" s="2">
        <v>18490</v>
      </c>
      <c r="G251" s="2" t="str">
        <f>VLOOKUP(F251,Produtos!A:B,2,FALSE)</f>
        <v>PATAGONIA AMB LAG NAC LATA 473ML 6PACK</v>
      </c>
      <c r="H251" t="s">
        <v>475</v>
      </c>
      <c r="I25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1" s="9" t="str">
        <f>VLOOKUP(Table1[[#This Row],[Área avaliada]],Endereços!A:B,2,0)</f>
        <v>Área Azul</v>
      </c>
      <c r="K251" t="str">
        <f>VLOOKUP(Table1[[#This Row],[Nome do avaliador ]],M:N,2,0)</f>
        <v>A</v>
      </c>
    </row>
    <row r="252" spans="1:11" x14ac:dyDescent="0.3">
      <c r="A252">
        <v>251</v>
      </c>
      <c r="B252" s="1">
        <v>45826.4222800926</v>
      </c>
      <c r="C252" s="1">
        <v>45826.4230439815</v>
      </c>
      <c r="D252" t="s">
        <v>19</v>
      </c>
      <c r="E252" t="s">
        <v>23</v>
      </c>
      <c r="F252" s="2">
        <v>9091</v>
      </c>
      <c r="G252" s="2" t="str">
        <f>VLOOKUP(F252,Produtos!A:B,2,FALSE)</f>
        <v>TONICA ANTARCTICA LT 350ML SH C/12 NPAL</v>
      </c>
      <c r="H252" t="s">
        <v>475</v>
      </c>
      <c r="I25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2" s="9" t="str">
        <f>VLOOKUP(Table1[[#This Row],[Área avaliada]],Endereços!A:B,2,0)</f>
        <v>Área Azul</v>
      </c>
      <c r="K252" t="str">
        <f>VLOOKUP(Table1[[#This Row],[Nome do avaliador ]],M:N,2,0)</f>
        <v>A</v>
      </c>
    </row>
    <row r="253" spans="1:11" x14ac:dyDescent="0.3">
      <c r="A253">
        <v>252</v>
      </c>
      <c r="B253" s="1">
        <v>45826.423784722203</v>
      </c>
      <c r="C253" s="1">
        <v>45826.424791666701</v>
      </c>
      <c r="D253" t="s">
        <v>19</v>
      </c>
      <c r="E253" t="s">
        <v>23</v>
      </c>
      <c r="F253" s="2">
        <v>9096</v>
      </c>
      <c r="G253" s="2" t="str">
        <f>VLOOKUP(F253,Produtos!A:B,2,FALSE)</f>
        <v>PEPSI COLA LATA 350ML SH C/12 NPAL</v>
      </c>
      <c r="H253" t="s">
        <v>475</v>
      </c>
      <c r="I25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3" s="9" t="str">
        <f>VLOOKUP(Table1[[#This Row],[Área avaliada]],Endereços!A:B,2,0)</f>
        <v>Área Azul</v>
      </c>
      <c r="K253" t="str">
        <f>VLOOKUP(Table1[[#This Row],[Nome do avaliador ]],M:N,2,0)</f>
        <v>A</v>
      </c>
    </row>
    <row r="254" spans="1:11" x14ac:dyDescent="0.3">
      <c r="A254">
        <v>253</v>
      </c>
      <c r="B254" s="1">
        <v>45826.425057870401</v>
      </c>
      <c r="C254" s="1">
        <v>45826.426354166702</v>
      </c>
      <c r="D254" t="s">
        <v>19</v>
      </c>
      <c r="E254" t="s">
        <v>20</v>
      </c>
      <c r="F254" s="2">
        <v>9320</v>
      </c>
      <c r="G254" s="2" t="str">
        <f>VLOOKUP(F254,Produtos!A:B,2,FALSE)</f>
        <v>BRAHMA CHOPP LT 473ML SH C/12 NPAL</v>
      </c>
      <c r="H254" t="s">
        <v>482</v>
      </c>
      <c r="I25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4" s="9" t="str">
        <f>VLOOKUP(Table1[[#This Row],[Área avaliada]],Endereços!A:B,2,0)</f>
        <v>Área Azul</v>
      </c>
      <c r="K254" t="str">
        <f>VLOOKUP(Table1[[#This Row],[Nome do avaliador ]],M:N,2,0)</f>
        <v>A</v>
      </c>
    </row>
    <row r="255" spans="1:11" x14ac:dyDescent="0.3">
      <c r="A255">
        <v>254</v>
      </c>
      <c r="B255" s="1">
        <v>45826.585972222201</v>
      </c>
      <c r="C255" s="1">
        <v>45826.586643518502</v>
      </c>
      <c r="D255" t="s">
        <v>17</v>
      </c>
      <c r="E255" t="s">
        <v>20</v>
      </c>
      <c r="F255" s="2">
        <v>12948</v>
      </c>
      <c r="G255" s="2" t="str">
        <f>VLOOKUP(F255,Produtos!A:B,2,FALSE)</f>
        <v>BRAHMA CHOPP ZERO LATA 350 SH CX C12 NPA</v>
      </c>
      <c r="H255" t="s">
        <v>475</v>
      </c>
      <c r="I25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5" s="9" t="str">
        <f>VLOOKUP(Table1[[#This Row],[Área avaliada]],Endereços!A:B,2,0)</f>
        <v>Área Azul</v>
      </c>
      <c r="K255" t="s">
        <v>510</v>
      </c>
    </row>
    <row r="256" spans="1:11" x14ac:dyDescent="0.3">
      <c r="A256">
        <v>255</v>
      </c>
      <c r="B256" s="1">
        <v>45826.661238425899</v>
      </c>
      <c r="C256" s="1">
        <v>45826.670925925901</v>
      </c>
      <c r="D256" t="s">
        <v>31</v>
      </c>
      <c r="E256" t="s">
        <v>18</v>
      </c>
      <c r="G256" t="e">
        <f>VLOOKUP(F256,Produtos!A:B,2,FALSE)</f>
        <v>#N/A</v>
      </c>
      <c r="I25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6" s="9" t="str">
        <f>VLOOKUP(Table1[[#This Row],[Área avaliada]],Endereços!A:B,2,0)</f>
        <v>Área Vermelho</v>
      </c>
      <c r="K256" t="str">
        <f>VLOOKUP(Table1[[#This Row],[Nome do avaliador ]],M:N,2,0)</f>
        <v>B</v>
      </c>
    </row>
    <row r="257" spans="1:11" x14ac:dyDescent="0.3">
      <c r="A257">
        <v>256</v>
      </c>
      <c r="B257" s="1">
        <v>45828.317326388897</v>
      </c>
      <c r="C257" s="1">
        <v>45828.318275463003</v>
      </c>
      <c r="D257" t="s">
        <v>19</v>
      </c>
      <c r="E257" t="s">
        <v>23</v>
      </c>
      <c r="F257" s="2">
        <v>22177</v>
      </c>
      <c r="G257" s="2" t="str">
        <f>VLOOKUP(F257,Produtos!A:B,2,FALSE)</f>
        <v>BUDWEISER ZERO LT SLEEK 350ML C8 CX CART</v>
      </c>
      <c r="H257" t="s">
        <v>475</v>
      </c>
      <c r="I25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7" s="9" t="str">
        <f>VLOOKUP(Table1[[#This Row],[Área avaliada]],Endereços!A:B,2,0)</f>
        <v>Área Azul</v>
      </c>
      <c r="K257" t="str">
        <f>VLOOKUP(Table1[[#This Row],[Nome do avaliador ]],M:N,2,0)</f>
        <v>A</v>
      </c>
    </row>
    <row r="258" spans="1:11" x14ac:dyDescent="0.3">
      <c r="A258">
        <v>257</v>
      </c>
      <c r="B258" s="1">
        <v>45828.319976851897</v>
      </c>
      <c r="C258" s="1">
        <v>45828.320509259298</v>
      </c>
      <c r="D258" t="s">
        <v>17</v>
      </c>
      <c r="E258" t="s">
        <v>23</v>
      </c>
      <c r="F258" s="2">
        <v>9092</v>
      </c>
      <c r="G258" s="2" t="str">
        <f>VLOOKUP(F258,Produtos!A:B,2,FALSE)</f>
        <v>TONICA ANTARCTICA DIET LT350MLSHC/12 PAL</v>
      </c>
      <c r="H258" t="s">
        <v>475</v>
      </c>
      <c r="I25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8" s="9" t="str">
        <f>VLOOKUP(Table1[[#This Row],[Área avaliada]],Endereços!A:B,2,0)</f>
        <v>Área Azul</v>
      </c>
      <c r="K258" t="s">
        <v>510</v>
      </c>
    </row>
    <row r="259" spans="1:11" x14ac:dyDescent="0.3">
      <c r="A259">
        <v>258</v>
      </c>
      <c r="B259" s="1">
        <v>45828.321504629603</v>
      </c>
      <c r="C259" s="1">
        <v>45828.322187500002</v>
      </c>
      <c r="D259" t="s">
        <v>19</v>
      </c>
      <c r="E259" t="s">
        <v>25</v>
      </c>
      <c r="F259" s="2">
        <v>19310</v>
      </c>
      <c r="G259" s="2" t="str">
        <f>VLOOKUP(F259,Produtos!A:B,2,FALSE)</f>
        <v>ORIGINAL LATA 350ML CX CARTAO C/12 NPAL</v>
      </c>
      <c r="H259" t="s">
        <v>475</v>
      </c>
      <c r="I25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9" s="9" t="str">
        <f>VLOOKUP(Table1[[#This Row],[Área avaliada]],Endereços!A:B,2,0)</f>
        <v>Área Azul</v>
      </c>
      <c r="K259" t="str">
        <f>VLOOKUP(Table1[[#This Row],[Nome do avaliador ]],M:N,2,0)</f>
        <v>A</v>
      </c>
    </row>
    <row r="260" spans="1:11" x14ac:dyDescent="0.3">
      <c r="A260">
        <v>259</v>
      </c>
      <c r="B260" s="1">
        <v>45828.322939814803</v>
      </c>
      <c r="C260" s="1">
        <v>45828.323541666701</v>
      </c>
      <c r="D260" t="s">
        <v>17</v>
      </c>
      <c r="E260" t="s">
        <v>23</v>
      </c>
      <c r="F260" s="2">
        <v>9274</v>
      </c>
      <c r="G260" s="2" t="str">
        <f>VLOOKUP(F260,Produtos!A:B,2,FALSE)</f>
        <v>PEPSI ZERO LATA 350ML SH C/12 NPAL</v>
      </c>
      <c r="H260" t="s">
        <v>475</v>
      </c>
      <c r="I26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0" s="9" t="str">
        <f>VLOOKUP(Table1[[#This Row],[Área avaliada]],Endereços!A:B,2,0)</f>
        <v>Área Azul</v>
      </c>
      <c r="K260" t="s">
        <v>510</v>
      </c>
    </row>
    <row r="261" spans="1:11" x14ac:dyDescent="0.3">
      <c r="A261">
        <v>260</v>
      </c>
      <c r="B261" s="1">
        <v>45828.324745370403</v>
      </c>
      <c r="C261" s="1">
        <v>45828.325254629599</v>
      </c>
      <c r="D261" t="s">
        <v>19</v>
      </c>
      <c r="E261" t="s">
        <v>23</v>
      </c>
      <c r="F261" s="2">
        <v>18764</v>
      </c>
      <c r="G261" s="2" t="str">
        <f>VLOOKUP(F261,Produtos!A:B,2,FALSE)</f>
        <v>PATAGONIA BOH PIL NAC LATA 473ML 6 PACK</v>
      </c>
      <c r="H261" t="s">
        <v>475</v>
      </c>
      <c r="I26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1" s="9" t="str">
        <f>VLOOKUP(Table1[[#This Row],[Área avaliada]],Endereços!A:B,2,0)</f>
        <v>Área Azul</v>
      </c>
      <c r="K261" t="str">
        <f>VLOOKUP(Table1[[#This Row],[Nome do avaliador ]],M:N,2,0)</f>
        <v>A</v>
      </c>
    </row>
    <row r="262" spans="1:11" x14ac:dyDescent="0.3">
      <c r="A262">
        <v>261</v>
      </c>
      <c r="B262" s="1">
        <v>45828.326400462996</v>
      </c>
      <c r="C262" s="1">
        <v>45828.3268634259</v>
      </c>
      <c r="D262" t="s">
        <v>19</v>
      </c>
      <c r="E262" t="s">
        <v>23</v>
      </c>
      <c r="F262" s="2">
        <v>9067</v>
      </c>
      <c r="G262" s="2" t="str">
        <f>VLOOKUP(F262,Produtos!A:B,2,FALSE)</f>
        <v>ANTARCTICA PILSEN LATA 350ML SH C/12 NPA</v>
      </c>
      <c r="H262" t="s">
        <v>475</v>
      </c>
      <c r="I26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2" s="9" t="str">
        <f>VLOOKUP(Table1[[#This Row],[Área avaliada]],Endereços!A:B,2,0)</f>
        <v>Área Azul</v>
      </c>
      <c r="K262" t="str">
        <f>VLOOKUP(Table1[[#This Row],[Nome do avaliador ]],M:N,2,0)</f>
        <v>A</v>
      </c>
    </row>
    <row r="263" spans="1:11" x14ac:dyDescent="0.3">
      <c r="A263">
        <v>262</v>
      </c>
      <c r="B263" s="1">
        <v>45828.328055555598</v>
      </c>
      <c r="C263" s="1">
        <v>45828.329016203701</v>
      </c>
      <c r="D263" t="s">
        <v>19</v>
      </c>
      <c r="E263" t="s">
        <v>25</v>
      </c>
      <c r="F263" s="2">
        <v>17797</v>
      </c>
      <c r="G263" s="2" t="str">
        <f>VLOOKUP(F263,Produtos!A:B,2,FALSE)</f>
        <v>BRAHMA CHOPP LATA 350ML SH 18 MULTIPACK</v>
      </c>
      <c r="H263" t="s">
        <v>475</v>
      </c>
      <c r="I26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3" s="9" t="str">
        <f>VLOOKUP(Table1[[#This Row],[Área avaliada]],Endereços!A:B,2,0)</f>
        <v>Área Azul</v>
      </c>
      <c r="K263" t="str">
        <f>VLOOKUP(Table1[[#This Row],[Nome do avaliador ]],M:N,2,0)</f>
        <v>A</v>
      </c>
    </row>
    <row r="264" spans="1:11" x14ac:dyDescent="0.3">
      <c r="A264">
        <v>263</v>
      </c>
      <c r="B264" s="1">
        <v>45828.331736111097</v>
      </c>
      <c r="C264" s="1">
        <v>45828.332337963002</v>
      </c>
      <c r="D264" t="s">
        <v>19</v>
      </c>
      <c r="E264" t="s">
        <v>20</v>
      </c>
      <c r="F264" s="2">
        <v>9068</v>
      </c>
      <c r="G264" s="2" t="str">
        <f>VLOOKUP(F264,Produtos!A:B,2,FALSE)</f>
        <v>SKOL LATA 350ML SH C/12 NPAL</v>
      </c>
      <c r="H264" t="s">
        <v>475</v>
      </c>
      <c r="I26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4" s="9" t="str">
        <f>VLOOKUP(Table1[[#This Row],[Área avaliada]],Endereços!A:B,2,0)</f>
        <v>Área Azul</v>
      </c>
      <c r="K264" t="str">
        <f>VLOOKUP(Table1[[#This Row],[Nome do avaliador ]],M:N,2,0)</f>
        <v>A</v>
      </c>
    </row>
    <row r="265" spans="1:11" x14ac:dyDescent="0.3">
      <c r="A265">
        <v>264</v>
      </c>
      <c r="B265" s="1">
        <v>45828.443946759297</v>
      </c>
      <c r="C265" s="1">
        <v>45828.444374999999</v>
      </c>
      <c r="D265" t="s">
        <v>17</v>
      </c>
      <c r="E265" t="s">
        <v>23</v>
      </c>
      <c r="F265" s="2">
        <v>9081</v>
      </c>
      <c r="G265" s="2" t="str">
        <f>VLOOKUP(F265,Produtos!A:B,2,FALSE)</f>
        <v>MALZBIER BRAHMA LATA 350ML SH C/12 NPAL</v>
      </c>
      <c r="H265" t="s">
        <v>475</v>
      </c>
      <c r="I26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5" s="9" t="str">
        <f>VLOOKUP(Table1[[#This Row],[Área avaliada]],Endereços!A:B,2,0)</f>
        <v>Área Azul</v>
      </c>
      <c r="K265" t="s">
        <v>510</v>
      </c>
    </row>
    <row r="266" spans="1:11" x14ac:dyDescent="0.3">
      <c r="A266">
        <v>265</v>
      </c>
      <c r="B266" s="1">
        <v>45828.675162036998</v>
      </c>
      <c r="C266" s="1">
        <v>45828.675636574102</v>
      </c>
      <c r="D266" t="s">
        <v>21</v>
      </c>
      <c r="E266" t="s">
        <v>14</v>
      </c>
      <c r="G266" t="e">
        <f>VLOOKUP(F266,Produtos!A:B,2,FALSE)</f>
        <v>#N/A</v>
      </c>
      <c r="H266" t="s">
        <v>477</v>
      </c>
      <c r="I26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6" s="9" t="str">
        <f>VLOOKUP(Table1[[#This Row],[Área avaliada]],Endereços!A:B,2,0)</f>
        <v>Picking Baixo Giro</v>
      </c>
      <c r="K266" t="str">
        <f>VLOOKUP(Table1[[#This Row],[Nome do avaliador ]],M:N,2,0)</f>
        <v>B</v>
      </c>
    </row>
    <row r="267" spans="1:11" x14ac:dyDescent="0.3">
      <c r="A267">
        <v>266</v>
      </c>
      <c r="B267" s="1">
        <v>45828.726076388899</v>
      </c>
      <c r="C267" s="1">
        <v>45828.727847222202</v>
      </c>
      <c r="D267" t="s">
        <v>31</v>
      </c>
      <c r="E267" t="s">
        <v>14</v>
      </c>
      <c r="G267" t="e">
        <f>VLOOKUP(F267,Produtos!A:B,2,FALSE)</f>
        <v>#N/A</v>
      </c>
      <c r="I26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7" s="9" t="str">
        <f>VLOOKUP(Table1[[#This Row],[Área avaliada]],Endereços!A:B,2,0)</f>
        <v>Picking Baixo Giro</v>
      </c>
      <c r="K267" t="str">
        <f>VLOOKUP(Table1[[#This Row],[Nome do avaliador ]],M:N,2,0)</f>
        <v>B</v>
      </c>
    </row>
    <row r="268" spans="1:11" x14ac:dyDescent="0.3">
      <c r="A268">
        <v>267</v>
      </c>
      <c r="B268" s="1">
        <v>45829.259907407402</v>
      </c>
      <c r="C268" s="1">
        <v>45829.2605092593</v>
      </c>
      <c r="D268" t="s">
        <v>17</v>
      </c>
      <c r="E268" t="s">
        <v>23</v>
      </c>
      <c r="F268" s="2">
        <v>9084</v>
      </c>
      <c r="G268" s="2" t="str">
        <f>VLOOKUP(F268,Produtos!A:B,2,FALSE)</f>
        <v>GUARANA CHP ANTARCT LT350ML SH C/12 NPAL</v>
      </c>
      <c r="H268" t="s">
        <v>475</v>
      </c>
      <c r="I26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8" s="9" t="str">
        <f>VLOOKUP(Table1[[#This Row],[Área avaliada]],Endereços!A:B,2,0)</f>
        <v>Área Azul</v>
      </c>
      <c r="K268" t="s">
        <v>510</v>
      </c>
    </row>
    <row r="269" spans="1:11" x14ac:dyDescent="0.3">
      <c r="A269">
        <v>268</v>
      </c>
      <c r="B269" s="1">
        <v>45829.261840277803</v>
      </c>
      <c r="C269" s="1">
        <v>45829.262395833299</v>
      </c>
      <c r="D269" t="s">
        <v>17</v>
      </c>
      <c r="E269" t="s">
        <v>23</v>
      </c>
      <c r="F269" s="2">
        <v>9084</v>
      </c>
      <c r="G269" s="2" t="str">
        <f>VLOOKUP(F269,Produtos!A:B,2,FALSE)</f>
        <v>GUARANA CHP ANTARCT LT350ML SH C/12 NPAL</v>
      </c>
      <c r="H269" t="s">
        <v>475</v>
      </c>
      <c r="I26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9" s="9" t="str">
        <f>VLOOKUP(Table1[[#This Row],[Área avaliada]],Endereços!A:B,2,0)</f>
        <v>Área Azul</v>
      </c>
      <c r="K269" t="s">
        <v>510</v>
      </c>
    </row>
    <row r="270" spans="1:11" x14ac:dyDescent="0.3">
      <c r="A270">
        <v>269</v>
      </c>
      <c r="B270" s="1">
        <v>45829.262407407397</v>
      </c>
      <c r="C270" s="1">
        <v>45829.262986111098</v>
      </c>
      <c r="D270" t="s">
        <v>17</v>
      </c>
      <c r="E270" t="s">
        <v>23</v>
      </c>
      <c r="F270" s="2">
        <v>33818</v>
      </c>
      <c r="G270" s="2" t="str">
        <f>VLOOKUP(F270,Produtos!A:B,2,FALSE)</f>
        <v>ORIGINAL LT 350ML SH C/12 NP MULTIPACK</v>
      </c>
      <c r="H270" t="s">
        <v>475</v>
      </c>
      <c r="I27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0" s="9" t="str">
        <f>VLOOKUP(Table1[[#This Row],[Área avaliada]],Endereços!A:B,2,0)</f>
        <v>Área Azul</v>
      </c>
      <c r="K270" t="s">
        <v>510</v>
      </c>
    </row>
    <row r="271" spans="1:11" x14ac:dyDescent="0.3">
      <c r="A271">
        <v>270</v>
      </c>
      <c r="B271" s="1">
        <v>45829.266018518501</v>
      </c>
      <c r="C271" s="1">
        <v>45829.266562500001</v>
      </c>
      <c r="D271" t="s">
        <v>17</v>
      </c>
      <c r="E271" t="s">
        <v>23</v>
      </c>
      <c r="F271" s="2">
        <v>17725</v>
      </c>
      <c r="G271" s="2" t="str">
        <f>VLOOKUP(F271,Produtos!A:B,2,FALSE)</f>
        <v>ANTARCTICA PILSEN LT 350ML SH C/18 MULTP</v>
      </c>
      <c r="H271" t="s">
        <v>475</v>
      </c>
      <c r="I27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1" s="9" t="str">
        <f>VLOOKUP(Table1[[#This Row],[Área avaliada]],Endereços!A:B,2,0)</f>
        <v>Área Azul</v>
      </c>
      <c r="K271" t="s">
        <v>510</v>
      </c>
    </row>
    <row r="272" spans="1:11" x14ac:dyDescent="0.3">
      <c r="A272">
        <v>271</v>
      </c>
      <c r="B272" s="1">
        <v>45829.268136574101</v>
      </c>
      <c r="C272" s="1">
        <v>45829.2686805556</v>
      </c>
      <c r="D272" t="s">
        <v>17</v>
      </c>
      <c r="E272" t="s">
        <v>23</v>
      </c>
      <c r="F272" s="2">
        <v>9081</v>
      </c>
      <c r="G272" s="2" t="str">
        <f>VLOOKUP(F272,Produtos!A:B,2,FALSE)</f>
        <v>MALZBIER BRAHMA LATA 350ML SH C/12 NPAL</v>
      </c>
      <c r="H272" t="s">
        <v>475</v>
      </c>
      <c r="I27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2" s="9" t="str">
        <f>VLOOKUP(Table1[[#This Row],[Área avaliada]],Endereços!A:B,2,0)</f>
        <v>Área Azul</v>
      </c>
      <c r="K272" t="s">
        <v>510</v>
      </c>
    </row>
    <row r="273" spans="1:11" x14ac:dyDescent="0.3">
      <c r="A273">
        <v>272</v>
      </c>
      <c r="B273" s="1">
        <v>45829.272118055596</v>
      </c>
      <c r="C273" s="1">
        <v>45829.272800925901</v>
      </c>
      <c r="D273" t="s">
        <v>17</v>
      </c>
      <c r="E273" t="s">
        <v>23</v>
      </c>
      <c r="F273" s="2">
        <v>9084</v>
      </c>
      <c r="G273" s="2" t="str">
        <f>VLOOKUP(F273,Produtos!A:B,2,FALSE)</f>
        <v>GUARANA CHP ANTARCT LT350ML SH C/12 NPAL</v>
      </c>
      <c r="H273" t="s">
        <v>475</v>
      </c>
      <c r="I27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3" s="9" t="str">
        <f>VLOOKUP(Table1[[#This Row],[Área avaliada]],Endereços!A:B,2,0)</f>
        <v>Área Azul</v>
      </c>
      <c r="K273" t="s">
        <v>510</v>
      </c>
    </row>
    <row r="274" spans="1:11" x14ac:dyDescent="0.3">
      <c r="A274">
        <v>273</v>
      </c>
      <c r="B274" s="1">
        <v>45829.273854166699</v>
      </c>
      <c r="C274" s="1">
        <v>45829.2743402778</v>
      </c>
      <c r="D274" t="s">
        <v>17</v>
      </c>
      <c r="E274" t="s">
        <v>25</v>
      </c>
      <c r="F274" s="2">
        <v>17797</v>
      </c>
      <c r="G274" s="2" t="str">
        <f>VLOOKUP(F274,Produtos!A:B,2,FALSE)</f>
        <v>BRAHMA CHOPP LATA 350ML SH 18 MULTIPACK</v>
      </c>
      <c r="H274" t="s">
        <v>475</v>
      </c>
      <c r="I27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4" s="9" t="str">
        <f>VLOOKUP(Table1[[#This Row],[Área avaliada]],Endereços!A:B,2,0)</f>
        <v>Área Azul</v>
      </c>
      <c r="K274" t="s">
        <v>510</v>
      </c>
    </row>
    <row r="275" spans="1:11" x14ac:dyDescent="0.3">
      <c r="A275">
        <v>274</v>
      </c>
      <c r="B275" s="1">
        <v>45829.274976851797</v>
      </c>
      <c r="C275" s="1">
        <v>45829.275486111103</v>
      </c>
      <c r="D275" t="s">
        <v>17</v>
      </c>
      <c r="E275" t="s">
        <v>23</v>
      </c>
      <c r="F275" s="2">
        <v>9068</v>
      </c>
      <c r="G275" s="2" t="str">
        <f>VLOOKUP(F275,Produtos!A:B,2,FALSE)</f>
        <v>SKOL LATA 350ML SH C/12 NPAL</v>
      </c>
      <c r="H275" t="s">
        <v>475</v>
      </c>
      <c r="I27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5" s="9" t="str">
        <f>VLOOKUP(Table1[[#This Row],[Área avaliada]],Endereços!A:B,2,0)</f>
        <v>Área Azul</v>
      </c>
      <c r="K275" t="s">
        <v>510</v>
      </c>
    </row>
    <row r="276" spans="1:11" x14ac:dyDescent="0.3">
      <c r="A276">
        <v>275</v>
      </c>
      <c r="B276" s="1">
        <v>45831.3339583333</v>
      </c>
      <c r="C276" s="1">
        <v>45831.334444444401</v>
      </c>
      <c r="D276" t="s">
        <v>19</v>
      </c>
      <c r="E276" t="s">
        <v>23</v>
      </c>
      <c r="F276" s="2">
        <v>9092</v>
      </c>
      <c r="G276" s="2" t="str">
        <f>VLOOKUP(F276,Produtos!A:B,2,FALSE)</f>
        <v>TONICA ANTARCTICA DIET LT350MLSHC/12 PAL</v>
      </c>
      <c r="H276" t="s">
        <v>482</v>
      </c>
      <c r="I27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6" s="9" t="str">
        <f>VLOOKUP(Table1[[#This Row],[Área avaliada]],Endereços!A:B,2,0)</f>
        <v>Área Azul</v>
      </c>
      <c r="K276" t="str">
        <f>VLOOKUP(Table1[[#This Row],[Nome do avaliador ]],M:N,2,0)</f>
        <v>A</v>
      </c>
    </row>
    <row r="277" spans="1:11" x14ac:dyDescent="0.3">
      <c r="A277">
        <v>276</v>
      </c>
      <c r="B277" s="1">
        <v>45831.335208333301</v>
      </c>
      <c r="C277" s="1">
        <v>45831.335694444402</v>
      </c>
      <c r="D277" t="s">
        <v>19</v>
      </c>
      <c r="E277" t="s">
        <v>23</v>
      </c>
      <c r="F277" s="2">
        <v>33818</v>
      </c>
      <c r="G277" s="2" t="str">
        <f>VLOOKUP(F277,Produtos!A:B,2,FALSE)</f>
        <v>ORIGINAL LT 350ML SH C/12 NP MULTIPACK</v>
      </c>
      <c r="H277" t="s">
        <v>475</v>
      </c>
      <c r="I27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7" s="9" t="str">
        <f>VLOOKUP(Table1[[#This Row],[Área avaliada]],Endereços!A:B,2,0)</f>
        <v>Área Azul</v>
      </c>
      <c r="K277" t="str">
        <f>VLOOKUP(Table1[[#This Row],[Nome do avaliador ]],M:N,2,0)</f>
        <v>A</v>
      </c>
    </row>
    <row r="278" spans="1:11" x14ac:dyDescent="0.3">
      <c r="A278">
        <v>277</v>
      </c>
      <c r="B278" s="1">
        <v>45831.3374652778</v>
      </c>
      <c r="C278" s="1">
        <v>45831.337962963</v>
      </c>
      <c r="D278" t="s">
        <v>19</v>
      </c>
      <c r="E278" t="s">
        <v>23</v>
      </c>
      <c r="F278" s="2">
        <v>9081</v>
      </c>
      <c r="G278" s="2" t="str">
        <f>VLOOKUP(F278,Produtos!A:B,2,FALSE)</f>
        <v>MALZBIER BRAHMA LATA 350ML SH C/12 NPAL</v>
      </c>
      <c r="H278" t="s">
        <v>475</v>
      </c>
      <c r="I27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8" s="9" t="str">
        <f>VLOOKUP(Table1[[#This Row],[Área avaliada]],Endereços!A:B,2,0)</f>
        <v>Área Azul</v>
      </c>
      <c r="K278" t="str">
        <f>VLOOKUP(Table1[[#This Row],[Nome do avaliador ]],M:N,2,0)</f>
        <v>A</v>
      </c>
    </row>
    <row r="279" spans="1:11" x14ac:dyDescent="0.3">
      <c r="A279">
        <v>278</v>
      </c>
      <c r="B279" s="1">
        <v>45831.339756944399</v>
      </c>
      <c r="C279" s="1">
        <v>45831.340520833299</v>
      </c>
      <c r="D279" t="s">
        <v>19</v>
      </c>
      <c r="E279" t="s">
        <v>23</v>
      </c>
      <c r="F279" s="2">
        <v>9096</v>
      </c>
      <c r="G279" s="2" t="str">
        <f>VLOOKUP(F279,Produtos!A:B,2,FALSE)</f>
        <v>PEPSI COLA LATA 350ML SH C/12 NPAL</v>
      </c>
      <c r="H279" t="s">
        <v>473</v>
      </c>
      <c r="I27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9" s="9" t="str">
        <f>VLOOKUP(Table1[[#This Row],[Área avaliada]],Endereços!A:B,2,0)</f>
        <v>Área Azul</v>
      </c>
      <c r="K279" t="str">
        <f>VLOOKUP(Table1[[#This Row],[Nome do avaliador ]],M:N,2,0)</f>
        <v>A</v>
      </c>
    </row>
    <row r="280" spans="1:11" x14ac:dyDescent="0.3">
      <c r="A280">
        <v>279</v>
      </c>
      <c r="B280" s="1">
        <v>45831.341481481497</v>
      </c>
      <c r="C280" s="1">
        <v>45831.342349537001</v>
      </c>
      <c r="D280" t="s">
        <v>17</v>
      </c>
      <c r="E280" t="s">
        <v>25</v>
      </c>
      <c r="F280" s="2">
        <v>9084</v>
      </c>
      <c r="G280" s="2" t="str">
        <f>VLOOKUP(F280,Produtos!A:B,2,FALSE)</f>
        <v>GUARANA CHP ANTARCT LT350ML SH C/12 NPAL</v>
      </c>
      <c r="H280" t="s">
        <v>475</v>
      </c>
      <c r="I28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0" s="9" t="str">
        <f>VLOOKUP(Table1[[#This Row],[Área avaliada]],Endereços!A:B,2,0)</f>
        <v>Área Azul</v>
      </c>
      <c r="K280" t="s">
        <v>510</v>
      </c>
    </row>
    <row r="281" spans="1:11" x14ac:dyDescent="0.3">
      <c r="A281">
        <v>280</v>
      </c>
      <c r="B281" s="1">
        <v>45831.3429861111</v>
      </c>
      <c r="C281" s="1">
        <v>45831.343680555598</v>
      </c>
      <c r="D281" t="s">
        <v>19</v>
      </c>
      <c r="E281" t="s">
        <v>20</v>
      </c>
      <c r="F281" s="2">
        <v>9320</v>
      </c>
      <c r="G281" s="2" t="str">
        <f>VLOOKUP(F281,Produtos!A:B,2,FALSE)</f>
        <v>BRAHMA CHOPP LT 473ML SH C/12 NPAL</v>
      </c>
      <c r="H281" t="s">
        <v>475</v>
      </c>
      <c r="I28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1" s="9" t="str">
        <f>VLOOKUP(Table1[[#This Row],[Área avaliada]],Endereços!A:B,2,0)</f>
        <v>Área Azul</v>
      </c>
      <c r="K281" t="str">
        <f>VLOOKUP(Table1[[#This Row],[Nome do avaliador ]],M:N,2,0)</f>
        <v>A</v>
      </c>
    </row>
    <row r="282" spans="1:11" x14ac:dyDescent="0.3">
      <c r="A282">
        <v>281</v>
      </c>
      <c r="B282" s="1">
        <v>45831.3433912037</v>
      </c>
      <c r="C282" s="1">
        <v>45831.3438888889</v>
      </c>
      <c r="D282" t="s">
        <v>17</v>
      </c>
      <c r="E282" t="s">
        <v>20</v>
      </c>
      <c r="F282" s="2">
        <v>12948</v>
      </c>
      <c r="G282" s="2" t="str">
        <f>VLOOKUP(F282,Produtos!A:B,2,FALSE)</f>
        <v>BRAHMA CHOPP ZERO LATA 350 SH CX C12 NPA</v>
      </c>
      <c r="H282" t="s">
        <v>475</v>
      </c>
      <c r="I28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2" s="9" t="str">
        <f>VLOOKUP(Table1[[#This Row],[Área avaliada]],Endereços!A:B,2,0)</f>
        <v>Área Azul</v>
      </c>
      <c r="K282" t="s">
        <v>510</v>
      </c>
    </row>
    <row r="283" spans="1:11" x14ac:dyDescent="0.3">
      <c r="A283">
        <v>282</v>
      </c>
      <c r="B283" s="1">
        <v>45831.464189814797</v>
      </c>
      <c r="C283" s="1">
        <v>45831.465231481503</v>
      </c>
      <c r="D283" t="s">
        <v>17</v>
      </c>
      <c r="E283" t="s">
        <v>20</v>
      </c>
      <c r="F283" s="2">
        <v>12948</v>
      </c>
      <c r="G283" s="2" t="str">
        <f>VLOOKUP(F283,Produtos!A:B,2,FALSE)</f>
        <v>BRAHMA CHOPP ZERO LATA 350 SH CX C12 NPA</v>
      </c>
      <c r="H283" t="s">
        <v>475</v>
      </c>
      <c r="I28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3" s="9" t="str">
        <f>VLOOKUP(Table1[[#This Row],[Área avaliada]],Endereços!A:B,2,0)</f>
        <v>Área Azul</v>
      </c>
      <c r="K283" t="s">
        <v>510</v>
      </c>
    </row>
    <row r="284" spans="1:11" x14ac:dyDescent="0.3">
      <c r="A284">
        <v>283</v>
      </c>
      <c r="B284" s="1">
        <v>45831.465277777803</v>
      </c>
      <c r="C284" s="1">
        <v>45831.466296296298</v>
      </c>
      <c r="D284" t="s">
        <v>17</v>
      </c>
      <c r="E284" t="s">
        <v>20</v>
      </c>
      <c r="F284" s="2">
        <v>9274</v>
      </c>
      <c r="G284" s="2" t="str">
        <f>VLOOKUP(F284,Produtos!A:B,2,FALSE)</f>
        <v>PEPSI ZERO LATA 350ML SH C/12 NPAL</v>
      </c>
      <c r="H284" t="s">
        <v>475</v>
      </c>
      <c r="I28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4" s="9" t="str">
        <f>VLOOKUP(Table1[[#This Row],[Área avaliada]],Endereços!A:B,2,0)</f>
        <v>Área Azul</v>
      </c>
      <c r="K284" t="s">
        <v>510</v>
      </c>
    </row>
    <row r="285" spans="1:11" x14ac:dyDescent="0.3">
      <c r="A285">
        <v>284</v>
      </c>
      <c r="B285" s="1">
        <v>45832.351909722202</v>
      </c>
      <c r="C285" s="1">
        <v>45832.352395833303</v>
      </c>
      <c r="D285" t="s">
        <v>19</v>
      </c>
      <c r="E285" t="s">
        <v>23</v>
      </c>
      <c r="F285" s="2">
        <v>9069</v>
      </c>
      <c r="G285" s="2" t="str">
        <f>VLOOKUP(F285,Produtos!A:B,2,FALSE)</f>
        <v>BRAHMA CHOPP LATA 350ML SH C/12 NPAL</v>
      </c>
      <c r="H285" t="s">
        <v>482</v>
      </c>
      <c r="I28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5" s="9" t="str">
        <f>VLOOKUP(Table1[[#This Row],[Área avaliada]],Endereços!A:B,2,0)</f>
        <v>Área Azul</v>
      </c>
      <c r="K285" t="str">
        <f>VLOOKUP(Table1[[#This Row],[Nome do avaliador ]],M:N,2,0)</f>
        <v>A</v>
      </c>
    </row>
    <row r="286" spans="1:11" x14ac:dyDescent="0.3">
      <c r="A286">
        <v>285</v>
      </c>
      <c r="B286" s="1">
        <v>45832.356817129599</v>
      </c>
      <c r="C286" s="1">
        <v>45832.357581018499</v>
      </c>
      <c r="D286" t="s">
        <v>19</v>
      </c>
      <c r="E286" t="s">
        <v>23</v>
      </c>
      <c r="F286" s="2">
        <v>9084</v>
      </c>
      <c r="G286" s="2" t="str">
        <f>VLOOKUP(F286,Produtos!A:B,2,FALSE)</f>
        <v>GUARANA CHP ANTARCT LT350ML SH C/12 NPAL</v>
      </c>
      <c r="H286" t="s">
        <v>475</v>
      </c>
      <c r="I28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6" s="9" t="str">
        <f>VLOOKUP(Table1[[#This Row],[Área avaliada]],Endereços!A:B,2,0)</f>
        <v>Área Azul</v>
      </c>
      <c r="K286" t="str">
        <f>VLOOKUP(Table1[[#This Row],[Nome do avaliador ]],M:N,2,0)</f>
        <v>A</v>
      </c>
    </row>
    <row r="287" spans="1:11" x14ac:dyDescent="0.3">
      <c r="A287">
        <v>286</v>
      </c>
      <c r="B287" s="1">
        <v>45832.365289351903</v>
      </c>
      <c r="C287" s="1">
        <v>45832.366145833301</v>
      </c>
      <c r="D287" t="s">
        <v>19</v>
      </c>
      <c r="E287" t="s">
        <v>23</v>
      </c>
      <c r="F287" s="2">
        <v>9083</v>
      </c>
      <c r="G287" s="2" t="str">
        <f>VLOOKUP(F287,Produtos!A:B,2,FALSE)</f>
        <v>SKOL LT 473ML SH C/12 NPAL</v>
      </c>
      <c r="H287" t="s">
        <v>473</v>
      </c>
      <c r="I28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7" s="9" t="str">
        <f>VLOOKUP(Table1[[#This Row],[Área avaliada]],Endereços!A:B,2,0)</f>
        <v>Área Azul</v>
      </c>
      <c r="K287" t="str">
        <f>VLOOKUP(Table1[[#This Row],[Nome do avaliador ]],M:N,2,0)</f>
        <v>A</v>
      </c>
    </row>
    <row r="288" spans="1:11" x14ac:dyDescent="0.3">
      <c r="A288">
        <v>287</v>
      </c>
      <c r="B288" s="1">
        <v>45832.367719907401</v>
      </c>
      <c r="C288" s="1">
        <v>45832.368240740703</v>
      </c>
      <c r="D288" t="s">
        <v>19</v>
      </c>
      <c r="E288" t="s">
        <v>23</v>
      </c>
      <c r="F288" s="2">
        <v>23216</v>
      </c>
      <c r="G288" s="2" t="str">
        <f>VLOOKUP(F288,Produtos!A:B,2,FALSE)</f>
        <v>PATAGONIA IPA LATA 473ML 6PACK CARTAO</v>
      </c>
      <c r="H288" t="s">
        <v>482</v>
      </c>
      <c r="I28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8" s="9" t="str">
        <f>VLOOKUP(Table1[[#This Row],[Área avaliada]],Endereços!A:B,2,0)</f>
        <v>Área Azul</v>
      </c>
      <c r="K288" t="str">
        <f>VLOOKUP(Table1[[#This Row],[Nome do avaliador ]],M:N,2,0)</f>
        <v>A</v>
      </c>
    </row>
    <row r="289" spans="1:11" x14ac:dyDescent="0.3">
      <c r="A289">
        <v>288</v>
      </c>
      <c r="B289" s="1">
        <v>45832.3698842593</v>
      </c>
      <c r="C289" s="1">
        <v>45832.370543981502</v>
      </c>
      <c r="D289" t="s">
        <v>19</v>
      </c>
      <c r="E289" t="s">
        <v>23</v>
      </c>
      <c r="F289" s="2">
        <v>21658</v>
      </c>
      <c r="G289" s="2" t="str">
        <f>VLOOKUP(F289,Produtos!A:B,2,FALSE)</f>
        <v>SPATEN N LT SLEEK 350ML CX CART C12</v>
      </c>
      <c r="H289" t="s">
        <v>475</v>
      </c>
      <c r="I28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9" s="9" t="str">
        <f>VLOOKUP(Table1[[#This Row],[Área avaliada]],Endereços!A:B,2,0)</f>
        <v>Área Azul</v>
      </c>
      <c r="K289" t="str">
        <f>VLOOKUP(Table1[[#This Row],[Nome do avaliador ]],M:N,2,0)</f>
        <v>A</v>
      </c>
    </row>
    <row r="290" spans="1:11" x14ac:dyDescent="0.3">
      <c r="A290">
        <v>289</v>
      </c>
      <c r="B290" s="1">
        <v>45832.372696759303</v>
      </c>
      <c r="C290" s="1">
        <v>45832.3737847222</v>
      </c>
      <c r="D290" t="s">
        <v>19</v>
      </c>
      <c r="E290" t="s">
        <v>20</v>
      </c>
      <c r="F290" s="2">
        <v>9068</v>
      </c>
      <c r="G290" s="2" t="str">
        <f>VLOOKUP(F290,Produtos!A:B,2,FALSE)</f>
        <v>SKOL LATA 350ML SH C/12 NPAL</v>
      </c>
      <c r="H290" t="s">
        <v>475</v>
      </c>
      <c r="I29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0" s="9" t="str">
        <f>VLOOKUP(Table1[[#This Row],[Área avaliada]],Endereços!A:B,2,0)</f>
        <v>Área Azul</v>
      </c>
      <c r="K290" t="str">
        <f>VLOOKUP(Table1[[#This Row],[Nome do avaliador ]],M:N,2,0)</f>
        <v>A</v>
      </c>
    </row>
    <row r="291" spans="1:11" x14ac:dyDescent="0.3">
      <c r="A291">
        <v>290</v>
      </c>
      <c r="B291" s="1">
        <v>45832.587361111102</v>
      </c>
      <c r="C291" s="1">
        <v>45832.588171296302</v>
      </c>
      <c r="D291" t="s">
        <v>17</v>
      </c>
      <c r="E291" t="s">
        <v>23</v>
      </c>
      <c r="F291" s="2">
        <v>9085</v>
      </c>
      <c r="G291" s="2" t="str">
        <f>VLOOKUP(F291,Produtos!A:B,2,FALSE)</f>
        <v>GUARANA CHP ANTARCT DIET LT350ML SHC/12</v>
      </c>
      <c r="H291" t="s">
        <v>475</v>
      </c>
      <c r="I29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1" s="9" t="str">
        <f>VLOOKUP(Table1[[#This Row],[Área avaliada]],Endereços!A:B,2,0)</f>
        <v>Área Azul</v>
      </c>
      <c r="K291" t="s">
        <v>510</v>
      </c>
    </row>
    <row r="292" spans="1:11" x14ac:dyDescent="0.3">
      <c r="A292">
        <v>291</v>
      </c>
      <c r="B292" s="1">
        <v>45832.588194444397</v>
      </c>
      <c r="C292" s="1">
        <v>45832.588807870401</v>
      </c>
      <c r="D292" t="s">
        <v>17</v>
      </c>
      <c r="E292" t="s">
        <v>25</v>
      </c>
      <c r="F292" s="2">
        <v>9084</v>
      </c>
      <c r="G292" s="2" t="str">
        <f>VLOOKUP(F292,Produtos!A:B,2,FALSE)</f>
        <v>GUARANA CHP ANTARCT LT350ML SH C/12 NPAL</v>
      </c>
      <c r="H292" t="s">
        <v>475</v>
      </c>
      <c r="I29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2" s="9" t="str">
        <f>VLOOKUP(Table1[[#This Row],[Área avaliada]],Endereços!A:B,2,0)</f>
        <v>Área Azul</v>
      </c>
      <c r="K292" t="s">
        <v>510</v>
      </c>
    </row>
    <row r="293" spans="1:11" x14ac:dyDescent="0.3">
      <c r="A293">
        <v>292</v>
      </c>
      <c r="B293" s="1">
        <v>45832.6250462963</v>
      </c>
      <c r="C293" s="1">
        <v>45832.625590277799</v>
      </c>
      <c r="D293" t="s">
        <v>17</v>
      </c>
      <c r="E293" t="s">
        <v>23</v>
      </c>
      <c r="F293" s="2">
        <v>1164</v>
      </c>
      <c r="G293" s="2" t="str">
        <f>VLOOKUP(F293,Produtos!A:B,2,FALSE)</f>
        <v>SUKITA UVA LATA 350ML SH C/12 NPAL</v>
      </c>
      <c r="H293" t="s">
        <v>475</v>
      </c>
      <c r="I29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3" s="9" t="str">
        <f>VLOOKUP(Table1[[#This Row],[Área avaliada]],Endereços!A:B,2,0)</f>
        <v>Área Azul</v>
      </c>
      <c r="K293" t="s">
        <v>510</v>
      </c>
    </row>
    <row r="294" spans="1:11" x14ac:dyDescent="0.3">
      <c r="A294">
        <v>293</v>
      </c>
      <c r="B294" s="1">
        <v>45833.411898148101</v>
      </c>
      <c r="C294" s="1">
        <v>45833.4124884259</v>
      </c>
      <c r="D294" t="s">
        <v>19</v>
      </c>
      <c r="E294" t="s">
        <v>23</v>
      </c>
      <c r="F294" s="2">
        <v>9084</v>
      </c>
      <c r="G294" s="2" t="str">
        <f>VLOOKUP(F294,Produtos!A:B,2,FALSE)</f>
        <v>GUARANA CHP ANTARCT LT350ML SH C/12 NPAL</v>
      </c>
      <c r="H294" t="s">
        <v>475</v>
      </c>
      <c r="I29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4" s="9" t="str">
        <f>VLOOKUP(Table1[[#This Row],[Área avaliada]],Endereços!A:B,2,0)</f>
        <v>Área Azul</v>
      </c>
      <c r="K294" t="str">
        <f>VLOOKUP(Table1[[#This Row],[Nome do avaliador ]],M:N,2,0)</f>
        <v>A</v>
      </c>
    </row>
    <row r="295" spans="1:11" x14ac:dyDescent="0.3">
      <c r="A295">
        <v>294</v>
      </c>
      <c r="B295" s="1">
        <v>45833.414687500001</v>
      </c>
      <c r="C295" s="1">
        <v>45833.415821759299</v>
      </c>
      <c r="D295" t="s">
        <v>19</v>
      </c>
      <c r="E295" t="s">
        <v>23</v>
      </c>
      <c r="F295" s="2">
        <v>33818</v>
      </c>
      <c r="G295" s="2" t="str">
        <f>VLOOKUP(F295,Produtos!A:B,2,FALSE)</f>
        <v>ORIGINAL LT 350ML SH C/12 NP MULTIPACK</v>
      </c>
      <c r="H295" t="s">
        <v>475</v>
      </c>
      <c r="I29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5" s="9" t="str">
        <f>VLOOKUP(Table1[[#This Row],[Área avaliada]],Endereços!A:B,2,0)</f>
        <v>Área Azul</v>
      </c>
      <c r="K295" t="str">
        <f>VLOOKUP(Table1[[#This Row],[Nome do avaliador ]],M:N,2,0)</f>
        <v>A</v>
      </c>
    </row>
    <row r="296" spans="1:11" x14ac:dyDescent="0.3">
      <c r="A296">
        <v>295</v>
      </c>
      <c r="B296" s="1">
        <v>45833.418159722198</v>
      </c>
      <c r="C296" s="1">
        <v>45833.418865740699</v>
      </c>
      <c r="D296" t="s">
        <v>19</v>
      </c>
      <c r="E296" t="s">
        <v>23</v>
      </c>
      <c r="F296" s="2">
        <v>8791</v>
      </c>
      <c r="G296" s="2" t="str">
        <f>VLOOKUP(F296,Produtos!A:B,2,FALSE)</f>
        <v>H2OH LIMAO C/GAS PET 500ML CAIXA C/12</v>
      </c>
      <c r="H296" t="s">
        <v>474</v>
      </c>
      <c r="I29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6" s="9" t="str">
        <f>VLOOKUP(Table1[[#This Row],[Área avaliada]],Endereços!A:B,2,0)</f>
        <v>Área Azul</v>
      </c>
      <c r="K296" t="str">
        <f>VLOOKUP(Table1[[#This Row],[Nome do avaliador ]],M:N,2,0)</f>
        <v>A</v>
      </c>
    </row>
    <row r="297" spans="1:11" x14ac:dyDescent="0.3">
      <c r="A297">
        <v>296</v>
      </c>
      <c r="B297" s="1">
        <v>45833.422060185199</v>
      </c>
      <c r="C297" s="1">
        <v>45833.423344907402</v>
      </c>
      <c r="D297" t="s">
        <v>17</v>
      </c>
      <c r="E297" t="s">
        <v>20</v>
      </c>
      <c r="F297" s="2">
        <v>9085</v>
      </c>
      <c r="G297" s="2" t="str">
        <f>VLOOKUP(F297,Produtos!A:B,2,FALSE)</f>
        <v>GUARANA CHP ANTARCT DIET LT350ML SHC/12</v>
      </c>
      <c r="H297" t="s">
        <v>475</v>
      </c>
      <c r="I29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7" s="9" t="str">
        <f>VLOOKUP(Table1[[#This Row],[Área avaliada]],Endereços!A:B,2,0)</f>
        <v>Área Azul</v>
      </c>
      <c r="K297" t="s">
        <v>510</v>
      </c>
    </row>
    <row r="298" spans="1:11" x14ac:dyDescent="0.3">
      <c r="A298">
        <v>297</v>
      </c>
      <c r="B298" s="1">
        <v>45833.423368055599</v>
      </c>
      <c r="C298" s="1">
        <v>45833.424039351798</v>
      </c>
      <c r="D298" t="s">
        <v>17</v>
      </c>
      <c r="E298" t="s">
        <v>20</v>
      </c>
      <c r="F298" s="2">
        <v>12948</v>
      </c>
      <c r="G298" s="2" t="str">
        <f>VLOOKUP(F298,Produtos!A:B,2,FALSE)</f>
        <v>BRAHMA CHOPP ZERO LATA 350 SH CX C12 NPA</v>
      </c>
      <c r="H298" t="s">
        <v>475</v>
      </c>
      <c r="I29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8" s="9" t="str">
        <f>VLOOKUP(Table1[[#This Row],[Área avaliada]],Endereços!A:B,2,0)</f>
        <v>Área Azul</v>
      </c>
      <c r="K298" t="s">
        <v>510</v>
      </c>
    </row>
    <row r="299" spans="1:11" x14ac:dyDescent="0.3">
      <c r="A299">
        <v>298</v>
      </c>
      <c r="B299" s="1">
        <v>45833.424050925903</v>
      </c>
      <c r="C299" s="1">
        <v>45833.424803240698</v>
      </c>
      <c r="D299" t="s">
        <v>17</v>
      </c>
      <c r="E299" t="s">
        <v>23</v>
      </c>
      <c r="F299" s="2">
        <v>9096</v>
      </c>
      <c r="G299" s="2" t="str">
        <f>VLOOKUP(F299,Produtos!A:B,2,FALSE)</f>
        <v>PEPSI COLA LATA 350ML SH C/12 NPAL</v>
      </c>
      <c r="H299" t="s">
        <v>475</v>
      </c>
      <c r="I29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9" s="9" t="str">
        <f>VLOOKUP(Table1[[#This Row],[Área avaliada]],Endereços!A:B,2,0)</f>
        <v>Área Azul</v>
      </c>
      <c r="K299" t="s">
        <v>510</v>
      </c>
    </row>
    <row r="300" spans="1:11" x14ac:dyDescent="0.3">
      <c r="A300">
        <v>299</v>
      </c>
      <c r="B300" s="1">
        <v>45833.637384259302</v>
      </c>
      <c r="C300" s="1">
        <v>45833.638067129599</v>
      </c>
      <c r="D300" t="s">
        <v>21</v>
      </c>
      <c r="E300" t="s">
        <v>18</v>
      </c>
      <c r="G300" t="e">
        <f>VLOOKUP(F300,Produtos!A:B,2,FALSE)</f>
        <v>#N/A</v>
      </c>
      <c r="H300" t="s">
        <v>477</v>
      </c>
      <c r="I30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0" s="9" t="str">
        <f>VLOOKUP(Table1[[#This Row],[Área avaliada]],Endereços!A:B,2,0)</f>
        <v>Área Vermelho</v>
      </c>
      <c r="K300" t="str">
        <f>VLOOKUP(Table1[[#This Row],[Nome do avaliador ]],M:N,2,0)</f>
        <v>B</v>
      </c>
    </row>
    <row r="301" spans="1:11" x14ac:dyDescent="0.3">
      <c r="A301">
        <v>300</v>
      </c>
      <c r="B301" s="1">
        <v>45834.379745370403</v>
      </c>
      <c r="C301" s="1">
        <v>45834.380312499998</v>
      </c>
      <c r="D301" t="s">
        <v>19</v>
      </c>
      <c r="E301" t="s">
        <v>25</v>
      </c>
      <c r="F301" s="2">
        <v>9084</v>
      </c>
      <c r="G301" s="2" t="str">
        <f>VLOOKUP(F301,Produtos!A:B,2,FALSE)</f>
        <v>GUARANA CHP ANTARCT LT350ML SH C/12 NPAL</v>
      </c>
      <c r="H301" t="s">
        <v>482</v>
      </c>
      <c r="I30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1" s="9" t="str">
        <f>VLOOKUP(Table1[[#This Row],[Área avaliada]],Endereços!A:B,2,0)</f>
        <v>Área Azul</v>
      </c>
      <c r="K301" t="str">
        <f>VLOOKUP(Table1[[#This Row],[Nome do avaliador ]],M:N,2,0)</f>
        <v>A</v>
      </c>
    </row>
    <row r="302" spans="1:11" x14ac:dyDescent="0.3">
      <c r="A302">
        <v>301</v>
      </c>
      <c r="B302" s="1">
        <v>45834.381747685198</v>
      </c>
      <c r="C302" s="1">
        <v>45834.382233796299</v>
      </c>
      <c r="D302" t="s">
        <v>19</v>
      </c>
      <c r="E302" t="s">
        <v>20</v>
      </c>
      <c r="F302" s="2">
        <v>9084</v>
      </c>
      <c r="G302" s="2" t="str">
        <f>VLOOKUP(F302,Produtos!A:B,2,FALSE)</f>
        <v>GUARANA CHP ANTARCT LT350ML SH C/12 NPAL</v>
      </c>
      <c r="H302" t="s">
        <v>482</v>
      </c>
      <c r="I30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2" s="9" t="str">
        <f>VLOOKUP(Table1[[#This Row],[Área avaliada]],Endereços!A:B,2,0)</f>
        <v>Área Azul</v>
      </c>
      <c r="K302" t="str">
        <f>VLOOKUP(Table1[[#This Row],[Nome do avaliador ]],M:N,2,0)</f>
        <v>A</v>
      </c>
    </row>
    <row r="303" spans="1:11" x14ac:dyDescent="0.3">
      <c r="A303">
        <v>302</v>
      </c>
      <c r="B303" s="1">
        <v>45834.388877314799</v>
      </c>
      <c r="C303" s="1">
        <v>45834.389490740701</v>
      </c>
      <c r="D303" t="s">
        <v>17</v>
      </c>
      <c r="E303" t="s">
        <v>23</v>
      </c>
      <c r="F303" s="2">
        <v>17808</v>
      </c>
      <c r="G303" s="2" t="str">
        <f>VLOOKUP(F303,Produtos!A:B,2,FALSE)</f>
        <v>BUDWEISER OW 330ML CX C 24</v>
      </c>
      <c r="H303" t="s">
        <v>475</v>
      </c>
      <c r="I30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3" s="9" t="str">
        <f>VLOOKUP(Table1[[#This Row],[Área avaliada]],Endereços!A:B,2,0)</f>
        <v>Área Azul</v>
      </c>
      <c r="K303" t="s">
        <v>510</v>
      </c>
    </row>
    <row r="304" spans="1:11" x14ac:dyDescent="0.3">
      <c r="A304">
        <v>303</v>
      </c>
      <c r="B304" s="1">
        <v>45834.389513888898</v>
      </c>
      <c r="C304" s="1">
        <v>45834.3900810185</v>
      </c>
      <c r="D304" t="s">
        <v>17</v>
      </c>
      <c r="E304" t="s">
        <v>23</v>
      </c>
      <c r="F304" s="2">
        <v>9089</v>
      </c>
      <c r="G304" s="2" t="str">
        <f>VLOOKUP(F304,Produtos!A:B,2,FALSE)</f>
        <v>SUKITA LATA 350ML SH C/12 NPAL</v>
      </c>
      <c r="H304" t="s">
        <v>475</v>
      </c>
      <c r="I30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4" s="9" t="str">
        <f>VLOOKUP(Table1[[#This Row],[Área avaliada]],Endereços!A:B,2,0)</f>
        <v>Área Azul</v>
      </c>
      <c r="K304" t="s">
        <v>510</v>
      </c>
    </row>
    <row r="305" spans="1:11" x14ac:dyDescent="0.3">
      <c r="A305">
        <v>304</v>
      </c>
      <c r="B305" s="1">
        <v>45834.390104166698</v>
      </c>
      <c r="C305" s="1">
        <v>45834.390902777799</v>
      </c>
      <c r="D305" t="s">
        <v>17</v>
      </c>
      <c r="E305" t="s">
        <v>23</v>
      </c>
      <c r="F305" s="2">
        <v>14340</v>
      </c>
      <c r="G305" s="2" t="str">
        <f>VLOOKUP(F305,Produtos!A:B,2,FALSE)</f>
        <v>ORIGINAL ONE WAY 300ML CX PAPELAO C/12</v>
      </c>
      <c r="H305" t="s">
        <v>475</v>
      </c>
      <c r="I30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5" s="9" t="str">
        <f>VLOOKUP(Table1[[#This Row],[Área avaliada]],Endereços!A:B,2,0)</f>
        <v>Área Azul</v>
      </c>
      <c r="K305" t="s">
        <v>510</v>
      </c>
    </row>
    <row r="306" spans="1:11" x14ac:dyDescent="0.3">
      <c r="A306">
        <v>305</v>
      </c>
      <c r="B306" s="1">
        <v>45834.390925925902</v>
      </c>
      <c r="C306" s="1">
        <v>45834.391643518502</v>
      </c>
      <c r="D306" t="s">
        <v>17</v>
      </c>
      <c r="E306" t="s">
        <v>20</v>
      </c>
      <c r="F306" s="2">
        <v>9084</v>
      </c>
      <c r="G306" s="2" t="str">
        <f>VLOOKUP(F306,Produtos!A:B,2,FALSE)</f>
        <v>GUARANA CHP ANTARCT LT350ML SH C/12 NPAL</v>
      </c>
      <c r="H306" t="s">
        <v>475</v>
      </c>
      <c r="I30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6" s="9" t="str">
        <f>VLOOKUP(Table1[[#This Row],[Área avaliada]],Endereços!A:B,2,0)</f>
        <v>Área Azul</v>
      </c>
      <c r="K306" t="s">
        <v>510</v>
      </c>
    </row>
    <row r="307" spans="1:11" x14ac:dyDescent="0.3">
      <c r="A307">
        <v>306</v>
      </c>
      <c r="B307" s="1">
        <v>45835.2160532407</v>
      </c>
      <c r="C307" s="1">
        <v>45835.217465277798</v>
      </c>
      <c r="D307" t="s">
        <v>26</v>
      </c>
      <c r="E307" t="s">
        <v>25</v>
      </c>
      <c r="G307" t="e">
        <f>VLOOKUP(F307,Produtos!A:B,2,FALSE)</f>
        <v>#N/A</v>
      </c>
      <c r="H307" t="s">
        <v>477</v>
      </c>
      <c r="I30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7" s="9" t="str">
        <f>VLOOKUP(Table1[[#This Row],[Área avaliada]],Endereços!A:B,2,0)</f>
        <v>Área Azul</v>
      </c>
      <c r="K307" t="str">
        <f>VLOOKUP(Table1[[#This Row],[Nome do avaliador ]],M:N,2,0)</f>
        <v>C</v>
      </c>
    </row>
    <row r="308" spans="1:11" x14ac:dyDescent="0.3">
      <c r="A308">
        <v>307</v>
      </c>
      <c r="B308" s="1">
        <v>45835.217789351896</v>
      </c>
      <c r="C308" s="1">
        <v>45835.219340277799</v>
      </c>
      <c r="D308" t="s">
        <v>26</v>
      </c>
      <c r="E308" t="s">
        <v>23</v>
      </c>
      <c r="G308" t="e">
        <f>VLOOKUP(F308,Produtos!A:B,2,FALSE)</f>
        <v>#N/A</v>
      </c>
      <c r="H308" t="s">
        <v>477</v>
      </c>
      <c r="I30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8" s="9" t="str">
        <f>VLOOKUP(Table1[[#This Row],[Área avaliada]],Endereços!A:B,2,0)</f>
        <v>Área Azul</v>
      </c>
      <c r="K308" t="str">
        <f>VLOOKUP(Table1[[#This Row],[Nome do avaliador ]],M:N,2,0)</f>
        <v>C</v>
      </c>
    </row>
    <row r="309" spans="1:11" x14ac:dyDescent="0.3">
      <c r="A309">
        <v>308</v>
      </c>
      <c r="B309" s="1">
        <v>45835.2194212963</v>
      </c>
      <c r="C309" s="1">
        <v>45835.220891203702</v>
      </c>
      <c r="D309" t="s">
        <v>26</v>
      </c>
      <c r="E309" t="s">
        <v>23</v>
      </c>
      <c r="G309" t="e">
        <f>VLOOKUP(F309,Produtos!A:B,2,FALSE)</f>
        <v>#N/A</v>
      </c>
      <c r="H309" t="s">
        <v>477</v>
      </c>
      <c r="I30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9" s="9" t="str">
        <f>VLOOKUP(Table1[[#This Row],[Área avaliada]],Endereços!A:B,2,0)</f>
        <v>Área Azul</v>
      </c>
      <c r="K309" t="str">
        <f>VLOOKUP(Table1[[#This Row],[Nome do avaliador ]],M:N,2,0)</f>
        <v>C</v>
      </c>
    </row>
    <row r="310" spans="1:11" x14ac:dyDescent="0.3">
      <c r="A310">
        <v>309</v>
      </c>
      <c r="B310" s="1">
        <v>45835.389837962997</v>
      </c>
      <c r="C310" s="1">
        <v>45835.390393518501</v>
      </c>
      <c r="D310" t="s">
        <v>19</v>
      </c>
      <c r="E310" t="s">
        <v>20</v>
      </c>
      <c r="F310" s="2">
        <v>9084</v>
      </c>
      <c r="G310" s="2" t="str">
        <f>VLOOKUP(F310,Produtos!A:B,2,FALSE)</f>
        <v>GUARANA CHP ANTARCT LT350ML SH C/12 NPAL</v>
      </c>
      <c r="H310" t="s">
        <v>473</v>
      </c>
      <c r="I31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0" s="9" t="str">
        <f>VLOOKUP(Table1[[#This Row],[Área avaliada]],Endereços!A:B,2,0)</f>
        <v>Área Azul</v>
      </c>
      <c r="K310" t="str">
        <f>VLOOKUP(Table1[[#This Row],[Nome do avaliador ]],M:N,2,0)</f>
        <v>A</v>
      </c>
    </row>
    <row r="311" spans="1:11" x14ac:dyDescent="0.3">
      <c r="A311">
        <v>310</v>
      </c>
      <c r="B311" s="1">
        <v>45835.449965277803</v>
      </c>
      <c r="C311" s="1">
        <v>45835.450567129599</v>
      </c>
      <c r="D311" t="s">
        <v>17</v>
      </c>
      <c r="E311" t="s">
        <v>23</v>
      </c>
      <c r="F311" s="2">
        <v>9096</v>
      </c>
      <c r="G311" s="2" t="str">
        <f>VLOOKUP(F311,Produtos!A:B,2,FALSE)</f>
        <v>PEPSI COLA LATA 350ML SH C/12 NPAL</v>
      </c>
      <c r="H311" t="s">
        <v>475</v>
      </c>
      <c r="I31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1" s="9" t="str">
        <f>VLOOKUP(Table1[[#This Row],[Área avaliada]],Endereços!A:B,2,0)</f>
        <v>Área Azul</v>
      </c>
      <c r="K311" t="s">
        <v>510</v>
      </c>
    </row>
    <row r="312" spans="1:11" x14ac:dyDescent="0.3">
      <c r="A312">
        <v>311</v>
      </c>
      <c r="B312" s="1">
        <v>45835.450081018498</v>
      </c>
      <c r="C312" s="1">
        <v>45835.4506944444</v>
      </c>
      <c r="D312" t="s">
        <v>17</v>
      </c>
      <c r="E312" t="s">
        <v>23</v>
      </c>
      <c r="F312" s="2">
        <v>9096</v>
      </c>
      <c r="G312" s="2" t="str">
        <f>VLOOKUP(F312,Produtos!A:B,2,FALSE)</f>
        <v>PEPSI COLA LATA 350ML SH C/12 NPAL</v>
      </c>
      <c r="H312" t="s">
        <v>475</v>
      </c>
      <c r="I31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2" s="9" t="str">
        <f>VLOOKUP(Table1[[#This Row],[Área avaliada]],Endereços!A:B,2,0)</f>
        <v>Área Azul</v>
      </c>
      <c r="K312" t="s">
        <v>510</v>
      </c>
    </row>
    <row r="313" spans="1:11" x14ac:dyDescent="0.3">
      <c r="A313">
        <v>312</v>
      </c>
      <c r="B313" s="1">
        <v>45835.618738425903</v>
      </c>
      <c r="C313" s="1">
        <v>45835.620949074102</v>
      </c>
      <c r="D313" t="s">
        <v>31</v>
      </c>
      <c r="E313" t="s">
        <v>18</v>
      </c>
      <c r="G313" t="e">
        <f>VLOOKUP(F313,Produtos!A:B,2,FALSE)</f>
        <v>#N/A</v>
      </c>
      <c r="I31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3" s="9" t="str">
        <f>VLOOKUP(Table1[[#This Row],[Área avaliada]],Endereços!A:B,2,0)</f>
        <v>Área Vermelho</v>
      </c>
      <c r="K313" t="str">
        <f>VLOOKUP(Table1[[#This Row],[Nome do avaliador ]],M:N,2,0)</f>
        <v>B</v>
      </c>
    </row>
    <row r="314" spans="1:11" x14ac:dyDescent="0.3">
      <c r="A314">
        <v>313</v>
      </c>
      <c r="B314" s="1">
        <v>45835.840115740699</v>
      </c>
      <c r="C314" s="1">
        <v>45835.841249999998</v>
      </c>
      <c r="D314" t="s">
        <v>28</v>
      </c>
      <c r="E314" t="s">
        <v>15</v>
      </c>
      <c r="G314" t="e">
        <f>VLOOKUP(F314,Produtos!A:B,2,FALSE)</f>
        <v>#N/A</v>
      </c>
      <c r="H314" t="s">
        <v>480</v>
      </c>
      <c r="I31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4" s="9" t="str">
        <f>VLOOKUP(Table1[[#This Row],[Área avaliada]],Endereços!A:B,2,0)</f>
        <v>Picking Alto Giro</v>
      </c>
      <c r="K314" t="str">
        <f>VLOOKUP(Table1[[#This Row],[Nome do avaliador ]],M:N,2,0)</f>
        <v>A</v>
      </c>
    </row>
    <row r="315" spans="1:11" x14ac:dyDescent="0.3">
      <c r="A315">
        <v>314</v>
      </c>
      <c r="B315" s="1">
        <v>45836.281469907401</v>
      </c>
      <c r="C315" s="1">
        <v>45836.282002314802</v>
      </c>
      <c r="D315" t="s">
        <v>19</v>
      </c>
      <c r="E315" t="s">
        <v>23</v>
      </c>
      <c r="F315" s="2">
        <v>9083</v>
      </c>
      <c r="G315" s="2" t="str">
        <f>VLOOKUP(F315,Produtos!A:B,2,FALSE)</f>
        <v>SKOL LT 473ML SH C/12 NPAL</v>
      </c>
      <c r="H315" t="s">
        <v>473</v>
      </c>
      <c r="I31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5" s="9" t="str">
        <f>VLOOKUP(Table1[[#This Row],[Área avaliada]],Endereços!A:B,2,0)</f>
        <v>Área Azul</v>
      </c>
      <c r="K315" t="str">
        <f>VLOOKUP(Table1[[#This Row],[Nome do avaliador ]],M:N,2,0)</f>
        <v>A</v>
      </c>
    </row>
    <row r="316" spans="1:11" x14ac:dyDescent="0.3">
      <c r="A316">
        <v>315</v>
      </c>
      <c r="B316" s="1">
        <v>45836.285196759301</v>
      </c>
      <c r="C316" s="1">
        <v>45836.285833333299</v>
      </c>
      <c r="D316" t="s">
        <v>19</v>
      </c>
      <c r="E316" t="s">
        <v>20</v>
      </c>
      <c r="F316" s="2">
        <v>21666</v>
      </c>
      <c r="G316" s="2" t="str">
        <f>VLOOKUP(F316,Produtos!A:B,2,FALSE)</f>
        <v>RED BULL TROP BR LT 250ML FOUR PACK NPAL</v>
      </c>
      <c r="H316" t="s">
        <v>473</v>
      </c>
      <c r="I31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6" s="9" t="str">
        <f>VLOOKUP(Table1[[#This Row],[Área avaliada]],Endereços!A:B,2,0)</f>
        <v>Área Azul</v>
      </c>
      <c r="K316" t="str">
        <f>VLOOKUP(Table1[[#This Row],[Nome do avaliador ]],M:N,2,0)</f>
        <v>A</v>
      </c>
    </row>
    <row r="317" spans="1:11" x14ac:dyDescent="0.3">
      <c r="A317">
        <v>316</v>
      </c>
      <c r="B317" s="1">
        <v>45836.677662037</v>
      </c>
      <c r="C317" s="1">
        <v>45836.684016203697</v>
      </c>
      <c r="D317" t="s">
        <v>31</v>
      </c>
      <c r="E317" t="s">
        <v>15</v>
      </c>
      <c r="G317" t="e">
        <f>VLOOKUP(F317,Produtos!A:B,2,FALSE)</f>
        <v>#N/A</v>
      </c>
      <c r="I31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7" s="9" t="str">
        <f>VLOOKUP(Table1[[#This Row],[Área avaliada]],Endereços!A:B,2,0)</f>
        <v>Picking Alto Giro</v>
      </c>
      <c r="K317" t="str">
        <f>VLOOKUP(Table1[[#This Row],[Nome do avaliador ]],M:N,2,0)</f>
        <v>B</v>
      </c>
    </row>
    <row r="318" spans="1:11" x14ac:dyDescent="0.3">
      <c r="A318">
        <v>317</v>
      </c>
      <c r="B318" s="1">
        <v>45838.334108796298</v>
      </c>
      <c r="C318" s="1">
        <v>45838.334652777798</v>
      </c>
      <c r="D318" t="s">
        <v>17</v>
      </c>
      <c r="E318" t="s">
        <v>25</v>
      </c>
      <c r="F318" s="2">
        <v>17797</v>
      </c>
      <c r="G318" s="2" t="str">
        <f>VLOOKUP(F318,Produtos!A:B,2,FALSE)</f>
        <v>BRAHMA CHOPP LATA 350ML SH 18 MULTIPACK</v>
      </c>
      <c r="H318" t="s">
        <v>475</v>
      </c>
      <c r="I31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8" s="9" t="str">
        <f>VLOOKUP(Table1[[#This Row],[Área avaliada]],Endereços!A:B,2,0)</f>
        <v>Área Azul</v>
      </c>
      <c r="K318" t="s">
        <v>510</v>
      </c>
    </row>
    <row r="319" spans="1:11" x14ac:dyDescent="0.3">
      <c r="A319">
        <v>318</v>
      </c>
      <c r="B319" s="1">
        <v>45838.3346759259</v>
      </c>
      <c r="C319" s="1">
        <v>45838.335208333301</v>
      </c>
      <c r="D319" t="s">
        <v>17</v>
      </c>
      <c r="E319" t="s">
        <v>23</v>
      </c>
      <c r="F319" s="2">
        <v>17797</v>
      </c>
      <c r="G319" s="2" t="str">
        <f>VLOOKUP(F319,Produtos!A:B,2,FALSE)</f>
        <v>BRAHMA CHOPP LATA 350ML SH 18 MULTIPACK</v>
      </c>
      <c r="H319" t="s">
        <v>475</v>
      </c>
      <c r="I31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9" s="9" t="str">
        <f>VLOOKUP(Table1[[#This Row],[Área avaliada]],Endereços!A:B,2,0)</f>
        <v>Área Azul</v>
      </c>
      <c r="K319" t="s">
        <v>510</v>
      </c>
    </row>
    <row r="320" spans="1:11" x14ac:dyDescent="0.3">
      <c r="A320">
        <v>319</v>
      </c>
      <c r="B320" s="1">
        <v>45838.3354861111</v>
      </c>
      <c r="C320" s="1">
        <v>45838.336018518501</v>
      </c>
      <c r="D320" t="s">
        <v>17</v>
      </c>
      <c r="E320" t="s">
        <v>23</v>
      </c>
      <c r="F320" s="2">
        <v>9067</v>
      </c>
      <c r="G320" s="2" t="str">
        <f>VLOOKUP(F320,Produtos!A:B,2,FALSE)</f>
        <v>ANTARCTICA PILSEN LATA 350ML SH C/12 NPA</v>
      </c>
      <c r="H320" t="s">
        <v>475</v>
      </c>
      <c r="I32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20" s="9" t="str">
        <f>VLOOKUP(Table1[[#This Row],[Área avaliada]],Endereços!A:B,2,0)</f>
        <v>Área Azul</v>
      </c>
      <c r="K320" t="s">
        <v>510</v>
      </c>
    </row>
    <row r="321" spans="1:11" x14ac:dyDescent="0.3">
      <c r="A321">
        <v>320</v>
      </c>
      <c r="B321" s="1">
        <v>45838.337071759299</v>
      </c>
      <c r="C321" s="1">
        <v>45838.3376041667</v>
      </c>
      <c r="D321" t="s">
        <v>17</v>
      </c>
      <c r="E321" t="s">
        <v>23</v>
      </c>
      <c r="F321" s="2">
        <v>9072</v>
      </c>
      <c r="G321" s="2" t="str">
        <f>VLOOKUP(F321,Produtos!A:B,2,FALSE)</f>
        <v>BOHEMIA NOVA EMBAL LT 350ML SH C/12 NPAL</v>
      </c>
      <c r="H321" t="s">
        <v>475</v>
      </c>
      <c r="I32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21" s="9" t="str">
        <f>VLOOKUP(Table1[[#This Row],[Área avaliada]],Endereços!A:B,2,0)</f>
        <v>Área Azul</v>
      </c>
      <c r="K321" t="s">
        <v>510</v>
      </c>
    </row>
    <row r="322" spans="1:11" x14ac:dyDescent="0.3">
      <c r="A322">
        <v>321</v>
      </c>
      <c r="B322" s="1">
        <v>45838.361180555599</v>
      </c>
      <c r="C322" s="1">
        <v>45838.3617592593</v>
      </c>
      <c r="D322" t="s">
        <v>19</v>
      </c>
      <c r="E322" t="s">
        <v>23</v>
      </c>
      <c r="F322" s="2">
        <v>9083</v>
      </c>
      <c r="G322" s="2" t="str">
        <f>VLOOKUP(F322,Produtos!A:B,2,FALSE)</f>
        <v>SKOL LT 473ML SH C/12 NPAL</v>
      </c>
      <c r="H322" t="s">
        <v>473</v>
      </c>
      <c r="I32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22" s="9" t="str">
        <f>VLOOKUP(Table1[[#This Row],[Área avaliada]],Endereços!A:B,2,0)</f>
        <v>Área Azul</v>
      </c>
      <c r="K322" t="str">
        <f>VLOOKUP(Table1[[#This Row],[Nome do avaliador ]],M:N,2,0)</f>
        <v>A</v>
      </c>
    </row>
    <row r="323" spans="1:11" x14ac:dyDescent="0.3">
      <c r="A323">
        <v>322</v>
      </c>
      <c r="B323" s="1">
        <v>45838.364571759303</v>
      </c>
      <c r="C323" s="1">
        <v>45838.365150463003</v>
      </c>
      <c r="D323" t="s">
        <v>19</v>
      </c>
      <c r="E323" t="s">
        <v>25</v>
      </c>
      <c r="F323" s="2">
        <v>19310</v>
      </c>
      <c r="G323" s="2" t="str">
        <f>VLOOKUP(F323,Produtos!A:B,2,FALSE)</f>
        <v>ORIGINAL LATA 350ML CX CARTAO C/12 NPAL</v>
      </c>
      <c r="H323" t="s">
        <v>473</v>
      </c>
      <c r="I32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23" s="9" t="str">
        <f>VLOOKUP(Table1[[#This Row],[Área avaliada]],Endereços!A:B,2,0)</f>
        <v>Área Azul</v>
      </c>
      <c r="K323" t="str">
        <f>VLOOKUP(Table1[[#This Row],[Nome do avaliador ]],M:N,2,0)</f>
        <v>A</v>
      </c>
    </row>
    <row r="324" spans="1:11" x14ac:dyDescent="0.3">
      <c r="A324">
        <v>323</v>
      </c>
      <c r="B324" s="1">
        <v>45839.332337963002</v>
      </c>
      <c r="C324" s="1">
        <v>45839.3335069444</v>
      </c>
      <c r="D324" t="s">
        <v>19</v>
      </c>
      <c r="E324" t="s">
        <v>20</v>
      </c>
      <c r="F324" s="2">
        <v>19310</v>
      </c>
      <c r="G324" s="2" t="str">
        <f>VLOOKUP(F324,Produtos!A:B,2,FALSE)</f>
        <v>ORIGINAL LATA 350ML CX CARTAO C/12 NPAL</v>
      </c>
      <c r="H324" t="s">
        <v>482</v>
      </c>
      <c r="I32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24" s="9" t="str">
        <f>VLOOKUP(Table1[[#This Row],[Área avaliada]],Endereços!A:B,2,0)</f>
        <v>Área Azul</v>
      </c>
      <c r="K324" t="str">
        <f>VLOOKUP(Table1[[#This Row],[Nome do avaliador ]],M:N,2,0)</f>
        <v>A</v>
      </c>
    </row>
    <row r="325" spans="1:11" x14ac:dyDescent="0.3">
      <c r="A325">
        <v>324</v>
      </c>
      <c r="B325" s="1">
        <v>45839.336412037002</v>
      </c>
      <c r="C325" s="1">
        <v>45839.337453703702</v>
      </c>
      <c r="D325" t="s">
        <v>19</v>
      </c>
      <c r="E325" t="s">
        <v>23</v>
      </c>
      <c r="F325" s="2">
        <v>9068</v>
      </c>
      <c r="G325" s="2" t="str">
        <f>VLOOKUP(F325,Produtos!A:B,2,FALSE)</f>
        <v>SKOL LATA 350ML SH C/12 NPAL</v>
      </c>
      <c r="H325" t="s">
        <v>473</v>
      </c>
      <c r="I32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25" s="9" t="str">
        <f>VLOOKUP(Table1[[#This Row],[Área avaliada]],Endereços!A:B,2,0)</f>
        <v>Área Azul</v>
      </c>
      <c r="K325" t="str">
        <f>VLOOKUP(Table1[[#This Row],[Nome do avaliador ]],M:N,2,0)</f>
        <v>A</v>
      </c>
    </row>
    <row r="326" spans="1:11" x14ac:dyDescent="0.3">
      <c r="A326">
        <v>325</v>
      </c>
      <c r="B326" s="1">
        <v>45839.387824074103</v>
      </c>
      <c r="C326" s="1">
        <v>45839.388460648101</v>
      </c>
      <c r="D326" t="s">
        <v>17</v>
      </c>
      <c r="E326" t="s">
        <v>23</v>
      </c>
      <c r="F326" s="2">
        <v>9093</v>
      </c>
      <c r="G326" s="2" t="str">
        <f>VLOOKUP(F326,Produtos!A:B,2,FALSE)</f>
        <v>PEPSI TWIST LATA 350ML SH C/12 NPAL</v>
      </c>
      <c r="H326" t="s">
        <v>475</v>
      </c>
      <c r="I32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26" s="9" t="str">
        <f>VLOOKUP(Table1[[#This Row],[Área avaliada]],Endereços!A:B,2,0)</f>
        <v>Área Azul</v>
      </c>
      <c r="K326" t="s">
        <v>510</v>
      </c>
    </row>
    <row r="327" spans="1:11" x14ac:dyDescent="0.3">
      <c r="A327">
        <v>326</v>
      </c>
      <c r="B327" s="1">
        <v>45839.388495370396</v>
      </c>
      <c r="C327" s="1">
        <v>45839.389178240701</v>
      </c>
      <c r="D327" t="s">
        <v>17</v>
      </c>
      <c r="E327" t="s">
        <v>20</v>
      </c>
      <c r="F327" s="2">
        <v>1166</v>
      </c>
      <c r="G327" s="2" t="str">
        <f>VLOOKUP(F327,Produtos!A:B,2,FALSE)</f>
        <v>SUKITA UVA PET 2L CAIXA C/6</v>
      </c>
      <c r="H327" t="s">
        <v>475</v>
      </c>
      <c r="I32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27" s="9" t="str">
        <f>VLOOKUP(Table1[[#This Row],[Área avaliada]],Endereços!A:B,2,0)</f>
        <v>Área Azul</v>
      </c>
      <c r="K327" t="s">
        <v>510</v>
      </c>
    </row>
    <row r="328" spans="1:11" x14ac:dyDescent="0.3">
      <c r="A328">
        <v>327</v>
      </c>
      <c r="B328" s="1">
        <v>45839.3893171296</v>
      </c>
      <c r="C328" s="1">
        <v>45839.3903125</v>
      </c>
      <c r="D328" t="s">
        <v>17</v>
      </c>
      <c r="E328" t="s">
        <v>25</v>
      </c>
      <c r="F328" s="2">
        <v>9067</v>
      </c>
      <c r="G328" s="2" t="str">
        <f>VLOOKUP(F328,Produtos!A:B,2,FALSE)</f>
        <v>ANTARCTICA PILSEN LATA 350ML SH C/12 NPA</v>
      </c>
      <c r="H328" t="s">
        <v>475</v>
      </c>
      <c r="I32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28" s="9" t="str">
        <f>VLOOKUP(Table1[[#This Row],[Área avaliada]],Endereços!A:B,2,0)</f>
        <v>Área Azul</v>
      </c>
      <c r="K328" t="s">
        <v>510</v>
      </c>
    </row>
    <row r="329" spans="1:11" x14ac:dyDescent="0.3">
      <c r="A329">
        <v>328</v>
      </c>
      <c r="B329" s="1">
        <v>45839.390451388899</v>
      </c>
      <c r="C329" s="1">
        <v>45839.391377314802</v>
      </c>
      <c r="D329" t="s">
        <v>17</v>
      </c>
      <c r="E329" t="s">
        <v>20</v>
      </c>
      <c r="F329" s="2">
        <v>9085</v>
      </c>
      <c r="G329" s="2" t="str">
        <f>VLOOKUP(F329,Produtos!A:B,2,FALSE)</f>
        <v>GUARANA CHP ANTARCT DIET LT350ML SHC/12</v>
      </c>
      <c r="H329" t="s">
        <v>475</v>
      </c>
      <c r="I32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29" s="9" t="str">
        <f>VLOOKUP(Table1[[#This Row],[Área avaliada]],Endereços!A:B,2,0)</f>
        <v>Área Azul</v>
      </c>
      <c r="K329" t="s">
        <v>510</v>
      </c>
    </row>
    <row r="330" spans="1:11" x14ac:dyDescent="0.3">
      <c r="A330">
        <v>329</v>
      </c>
      <c r="B330" s="1">
        <v>45839.617430555598</v>
      </c>
      <c r="C330" s="1">
        <v>45839.619768518503</v>
      </c>
      <c r="D330" t="s">
        <v>31</v>
      </c>
      <c r="E330" t="s">
        <v>14</v>
      </c>
      <c r="G330" t="e">
        <f>VLOOKUP(F330,Produtos!A:B,2,FALSE)</f>
        <v>#N/A</v>
      </c>
      <c r="I33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0" s="9" t="str">
        <f>VLOOKUP(Table1[[#This Row],[Área avaliada]],Endereços!A:B,2,0)</f>
        <v>Picking Baixo Giro</v>
      </c>
      <c r="K330" t="str">
        <f>VLOOKUP(Table1[[#This Row],[Nome do avaliador ]],M:N,2,0)</f>
        <v>B</v>
      </c>
    </row>
    <row r="331" spans="1:11" x14ac:dyDescent="0.3">
      <c r="A331">
        <v>330</v>
      </c>
      <c r="B331" s="1">
        <v>45839.658391203702</v>
      </c>
      <c r="C331" s="1">
        <v>45839.665428240703</v>
      </c>
      <c r="D331" t="s">
        <v>35</v>
      </c>
      <c r="E331" t="s">
        <v>12</v>
      </c>
      <c r="F331" t="s">
        <v>36</v>
      </c>
      <c r="G331" t="e">
        <f>VLOOKUP(F331,Produtos!A:B,2,FALSE)</f>
        <v>#N/A</v>
      </c>
      <c r="H331" t="s">
        <v>484</v>
      </c>
      <c r="I33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1" s="9" t="str">
        <f>VLOOKUP(Table1[[#This Row],[Área avaliada]],Endereços!A:B,2,0)</f>
        <v>Área Verde</v>
      </c>
      <c r="K331" t="str">
        <f>VLOOKUP(Table1[[#This Row],[Nome do avaliador ]],M:N,2,0)</f>
        <v>B</v>
      </c>
    </row>
    <row r="332" spans="1:11" x14ac:dyDescent="0.3">
      <c r="A332">
        <v>331</v>
      </c>
      <c r="B332" s="1">
        <v>45840.362615740698</v>
      </c>
      <c r="C332" s="1">
        <v>45840.363240740699</v>
      </c>
      <c r="D332" t="s">
        <v>19</v>
      </c>
      <c r="E332" t="s">
        <v>25</v>
      </c>
      <c r="F332" s="2">
        <v>19225</v>
      </c>
      <c r="G332" s="2" t="str">
        <f>VLOOKUP(F332,Produtos!A:B,2,FALSE)</f>
        <v>RED BULL BR LATA 250ML CAIXA C/24</v>
      </c>
      <c r="H332" t="s">
        <v>473</v>
      </c>
      <c r="I33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2" s="9" t="str">
        <f>VLOOKUP(Table1[[#This Row],[Área avaliada]],Endereços!A:B,2,0)</f>
        <v>Área Azul</v>
      </c>
      <c r="K332" t="str">
        <f>VLOOKUP(Table1[[#This Row],[Nome do avaliador ]],M:N,2,0)</f>
        <v>A</v>
      </c>
    </row>
    <row r="333" spans="1:11" x14ac:dyDescent="0.3">
      <c r="A333">
        <v>332</v>
      </c>
      <c r="B333" s="1">
        <v>45840.363831018498</v>
      </c>
      <c r="C333" s="1">
        <v>45840.364363425899</v>
      </c>
      <c r="D333" t="s">
        <v>19</v>
      </c>
      <c r="E333" t="s">
        <v>25</v>
      </c>
      <c r="F333" s="2">
        <v>19229</v>
      </c>
      <c r="G333" s="2" t="str">
        <f>VLOOKUP(F333,Produtos!A:B,2,FALSE)</f>
        <v>RED BULL BR LATA 250ML SIX PACK NPAL</v>
      </c>
      <c r="H333" t="s">
        <v>475</v>
      </c>
      <c r="I33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3" s="9" t="str">
        <f>VLOOKUP(Table1[[#This Row],[Área avaliada]],Endereços!A:B,2,0)</f>
        <v>Área Azul</v>
      </c>
      <c r="K333" t="str">
        <f>VLOOKUP(Table1[[#This Row],[Nome do avaliador ]],M:N,2,0)</f>
        <v>A</v>
      </c>
    </row>
    <row r="334" spans="1:11" x14ac:dyDescent="0.3">
      <c r="A334">
        <v>333</v>
      </c>
      <c r="B334" s="1">
        <v>45840.433530092603</v>
      </c>
      <c r="C334" s="1">
        <v>45840.434247685203</v>
      </c>
      <c r="D334" t="s">
        <v>17</v>
      </c>
      <c r="E334" t="s">
        <v>20</v>
      </c>
      <c r="F334" s="2">
        <v>9084</v>
      </c>
      <c r="G334" s="2" t="str">
        <f>VLOOKUP(F334,Produtos!A:B,2,FALSE)</f>
        <v>GUARANA CHP ANTARCT LT350ML SH C/12 NPAL</v>
      </c>
      <c r="H334" t="s">
        <v>475</v>
      </c>
      <c r="I33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4" s="9" t="str">
        <f>VLOOKUP(Table1[[#This Row],[Área avaliada]],Endereços!A:B,2,0)</f>
        <v>Área Azul</v>
      </c>
      <c r="K334" t="s">
        <v>510</v>
      </c>
    </row>
    <row r="335" spans="1:11" x14ac:dyDescent="0.3">
      <c r="A335">
        <v>334</v>
      </c>
      <c r="B335" s="1">
        <v>45840.434282407397</v>
      </c>
      <c r="C335" s="1">
        <v>45840.434907407398</v>
      </c>
      <c r="D335" t="s">
        <v>17</v>
      </c>
      <c r="E335" t="s">
        <v>20</v>
      </c>
      <c r="F335" s="2">
        <v>9068</v>
      </c>
      <c r="G335" s="2" t="str">
        <f>VLOOKUP(F335,Produtos!A:B,2,FALSE)</f>
        <v>SKOL LATA 350ML SH C/12 NPAL</v>
      </c>
      <c r="H335" t="s">
        <v>475</v>
      </c>
      <c r="I33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5" s="9" t="str">
        <f>VLOOKUP(Table1[[#This Row],[Área avaliada]],Endereços!A:B,2,0)</f>
        <v>Área Azul</v>
      </c>
      <c r="K335" t="s">
        <v>510</v>
      </c>
    </row>
    <row r="336" spans="1:11" x14ac:dyDescent="0.3">
      <c r="A336">
        <v>335</v>
      </c>
      <c r="B336" s="1">
        <v>45840.434930555602</v>
      </c>
      <c r="C336" s="1">
        <v>45840.4355671296</v>
      </c>
      <c r="D336" t="s">
        <v>17</v>
      </c>
      <c r="E336" t="s">
        <v>20</v>
      </c>
      <c r="F336" s="2">
        <v>9320</v>
      </c>
      <c r="G336" s="2" t="str">
        <f>VLOOKUP(F336,Produtos!A:B,2,FALSE)</f>
        <v>BRAHMA CHOPP LT 473ML SH C/12 NPAL</v>
      </c>
      <c r="H336" t="s">
        <v>475</v>
      </c>
      <c r="I33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6" s="9" t="str">
        <f>VLOOKUP(Table1[[#This Row],[Área avaliada]],Endereços!A:B,2,0)</f>
        <v>Área Azul</v>
      </c>
      <c r="K336" t="s">
        <v>510</v>
      </c>
    </row>
    <row r="337" spans="1:11" x14ac:dyDescent="0.3">
      <c r="A337">
        <v>336</v>
      </c>
      <c r="B337" s="1">
        <v>45841.200393518498</v>
      </c>
      <c r="C337" s="1">
        <v>45841.201990740701</v>
      </c>
      <c r="D337" t="s">
        <v>26</v>
      </c>
      <c r="E337" t="s">
        <v>14</v>
      </c>
      <c r="G337" t="e">
        <f>VLOOKUP(F337,Produtos!A:B,2,FALSE)</f>
        <v>#N/A</v>
      </c>
      <c r="H337" t="s">
        <v>477</v>
      </c>
      <c r="I33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7" s="9" t="str">
        <f>VLOOKUP(Table1[[#This Row],[Área avaliada]],Endereços!A:B,2,0)</f>
        <v>Picking Baixo Giro</v>
      </c>
      <c r="K337" t="str">
        <f>VLOOKUP(Table1[[#This Row],[Nome do avaliador ]],M:N,2,0)</f>
        <v>C</v>
      </c>
    </row>
    <row r="338" spans="1:11" x14ac:dyDescent="0.3">
      <c r="A338">
        <v>337</v>
      </c>
      <c r="B338" s="1">
        <v>45841.2020486111</v>
      </c>
      <c r="C338" s="1">
        <v>45841.203287037002</v>
      </c>
      <c r="D338" t="s">
        <v>26</v>
      </c>
      <c r="E338" t="s">
        <v>14</v>
      </c>
      <c r="G338" t="e">
        <f>VLOOKUP(F338,Produtos!A:B,2,FALSE)</f>
        <v>#N/A</v>
      </c>
      <c r="H338" t="s">
        <v>477</v>
      </c>
      <c r="I33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8" s="9" t="str">
        <f>VLOOKUP(Table1[[#This Row],[Área avaliada]],Endereços!A:B,2,0)</f>
        <v>Picking Baixo Giro</v>
      </c>
      <c r="K338" t="str">
        <f>VLOOKUP(Table1[[#This Row],[Nome do avaliador ]],M:N,2,0)</f>
        <v>C</v>
      </c>
    </row>
    <row r="339" spans="1:11" x14ac:dyDescent="0.3">
      <c r="A339">
        <v>338</v>
      </c>
      <c r="B339" s="1">
        <v>45841.203414351803</v>
      </c>
      <c r="C339" s="1">
        <v>45841.205138888901</v>
      </c>
      <c r="D339" t="s">
        <v>26</v>
      </c>
      <c r="E339" t="s">
        <v>14</v>
      </c>
      <c r="G339" t="e">
        <f>VLOOKUP(F339,Produtos!A:B,2,FALSE)</f>
        <v>#N/A</v>
      </c>
      <c r="H339" t="s">
        <v>477</v>
      </c>
      <c r="I33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9" s="9" t="str">
        <f>VLOOKUP(Table1[[#This Row],[Área avaliada]],Endereços!A:B,2,0)</f>
        <v>Picking Baixo Giro</v>
      </c>
      <c r="K339" t="str">
        <f>VLOOKUP(Table1[[#This Row],[Nome do avaliador ]],M:N,2,0)</f>
        <v>C</v>
      </c>
    </row>
    <row r="340" spans="1:11" x14ac:dyDescent="0.3">
      <c r="A340">
        <v>339</v>
      </c>
      <c r="B340" s="1">
        <v>45841.318078703698</v>
      </c>
      <c r="C340" s="1">
        <v>45841.318622685198</v>
      </c>
      <c r="D340" t="s">
        <v>19</v>
      </c>
      <c r="E340" t="s">
        <v>23</v>
      </c>
      <c r="F340" s="2">
        <v>19310</v>
      </c>
      <c r="G340" s="2" t="str">
        <f>VLOOKUP(F340,Produtos!A:B,2,FALSE)</f>
        <v>ORIGINAL LATA 350ML CX CARTAO C/12 NPAL</v>
      </c>
      <c r="H340" t="s">
        <v>473</v>
      </c>
      <c r="I34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0" s="9" t="str">
        <f>VLOOKUP(Table1[[#This Row],[Área avaliada]],Endereços!A:B,2,0)</f>
        <v>Área Azul</v>
      </c>
      <c r="K340" t="str">
        <f>VLOOKUP(Table1[[#This Row],[Nome do avaliador ]],M:N,2,0)</f>
        <v>A</v>
      </c>
    </row>
    <row r="341" spans="1:11" x14ac:dyDescent="0.3">
      <c r="A341">
        <v>340</v>
      </c>
      <c r="B341" s="1">
        <v>45841.322685185201</v>
      </c>
      <c r="C341" s="1">
        <v>45841.323229166701</v>
      </c>
      <c r="D341" t="s">
        <v>19</v>
      </c>
      <c r="E341" t="s">
        <v>25</v>
      </c>
      <c r="F341" s="2">
        <v>9084</v>
      </c>
      <c r="G341" s="2" t="str">
        <f>VLOOKUP(F341,Produtos!A:B,2,FALSE)</f>
        <v>GUARANA CHP ANTARCT LT350ML SH C/12 NPAL</v>
      </c>
      <c r="H341" t="s">
        <v>475</v>
      </c>
      <c r="I34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1" s="9" t="str">
        <f>VLOOKUP(Table1[[#This Row],[Área avaliada]],Endereços!A:B,2,0)</f>
        <v>Área Azul</v>
      </c>
      <c r="K341" t="str">
        <f>VLOOKUP(Table1[[#This Row],[Nome do avaliador ]],M:N,2,0)</f>
        <v>A</v>
      </c>
    </row>
    <row r="342" spans="1:11" x14ac:dyDescent="0.3">
      <c r="A342">
        <v>341</v>
      </c>
      <c r="B342" s="1">
        <v>45841.324629629598</v>
      </c>
      <c r="C342" s="1">
        <v>45841.325601851902</v>
      </c>
      <c r="D342" t="s">
        <v>19</v>
      </c>
      <c r="E342" t="s">
        <v>25</v>
      </c>
      <c r="F342" s="2">
        <v>23269</v>
      </c>
      <c r="G342" s="2" t="str">
        <f>VLOOKUP(F342,Produtos!A:B,2,FALSE)</f>
        <v>SKOL BEATS GT LN 269ML SIX-PACK SH C/4</v>
      </c>
      <c r="H342" t="s">
        <v>478</v>
      </c>
      <c r="I34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2" s="9" t="str">
        <f>VLOOKUP(Table1[[#This Row],[Área avaliada]],Endereços!A:B,2,0)</f>
        <v>Área Azul</v>
      </c>
      <c r="K342" t="str">
        <f>VLOOKUP(Table1[[#This Row],[Nome do avaliador ]],M:N,2,0)</f>
        <v>A</v>
      </c>
    </row>
    <row r="343" spans="1:11" x14ac:dyDescent="0.3">
      <c r="A343">
        <v>342</v>
      </c>
      <c r="B343" s="1">
        <v>45841.345752314803</v>
      </c>
      <c r="C343" s="1">
        <v>45841.346400463</v>
      </c>
      <c r="D343" t="s">
        <v>17</v>
      </c>
      <c r="E343" t="s">
        <v>23</v>
      </c>
      <c r="F343" s="2">
        <v>9072</v>
      </c>
      <c r="G343" s="2" t="str">
        <f>VLOOKUP(F343,Produtos!A:B,2,FALSE)</f>
        <v>BOHEMIA NOVA EMBAL LT 350ML SH C/12 NPAL</v>
      </c>
      <c r="H343" t="s">
        <v>475</v>
      </c>
      <c r="I34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3" s="9" t="str">
        <f>VLOOKUP(Table1[[#This Row],[Área avaliada]],Endereços!A:B,2,0)</f>
        <v>Área Azul</v>
      </c>
      <c r="K343" t="s">
        <v>510</v>
      </c>
    </row>
    <row r="344" spans="1:11" x14ac:dyDescent="0.3">
      <c r="A344">
        <v>343</v>
      </c>
      <c r="B344" s="1">
        <v>45841.346423611103</v>
      </c>
      <c r="C344" s="1">
        <v>45841.348495370403</v>
      </c>
      <c r="D344" t="s">
        <v>17</v>
      </c>
      <c r="E344" t="s">
        <v>23</v>
      </c>
      <c r="F344" s="2">
        <v>21119</v>
      </c>
      <c r="G344" s="2" t="str">
        <f>VLOOKUP(F344,Produtos!A:B,2,FALSE)</f>
        <v>SKOL BEATS GT LT 269ML CX CAR C/8</v>
      </c>
      <c r="H344" t="s">
        <v>475</v>
      </c>
      <c r="I34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4" s="9" t="str">
        <f>VLOOKUP(Table1[[#This Row],[Área avaliada]],Endereços!A:B,2,0)</f>
        <v>Área Azul</v>
      </c>
      <c r="K344" t="s">
        <v>510</v>
      </c>
    </row>
    <row r="345" spans="1:11" x14ac:dyDescent="0.3">
      <c r="A345">
        <v>344</v>
      </c>
      <c r="B345" s="1">
        <v>45841.3485069444</v>
      </c>
      <c r="C345" s="1">
        <v>45841.349201388897</v>
      </c>
      <c r="D345" t="s">
        <v>17</v>
      </c>
      <c r="E345" t="s">
        <v>20</v>
      </c>
      <c r="F345" s="2">
        <v>9084</v>
      </c>
      <c r="G345" s="2" t="str">
        <f>VLOOKUP(F345,Produtos!A:B,2,FALSE)</f>
        <v>GUARANA CHP ANTARCT LT350ML SH C/12 NPAL</v>
      </c>
      <c r="H345" t="s">
        <v>475</v>
      </c>
      <c r="I34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5" s="9" t="str">
        <f>VLOOKUP(Table1[[#This Row],[Área avaliada]],Endereços!A:B,2,0)</f>
        <v>Área Azul</v>
      </c>
      <c r="K345" t="s">
        <v>510</v>
      </c>
    </row>
    <row r="346" spans="1:11" x14ac:dyDescent="0.3">
      <c r="A346">
        <v>345</v>
      </c>
      <c r="B346" s="1">
        <v>45841.349212963003</v>
      </c>
      <c r="C346" s="1">
        <v>45841.349884259304</v>
      </c>
      <c r="D346" t="s">
        <v>17</v>
      </c>
      <c r="E346" t="s">
        <v>23</v>
      </c>
      <c r="F346" s="2">
        <v>9081</v>
      </c>
      <c r="G346" s="2" t="str">
        <f>VLOOKUP(F346,Produtos!A:B,2,FALSE)</f>
        <v>MALZBIER BRAHMA LATA 350ML SH C/12 NPAL</v>
      </c>
      <c r="H346" t="s">
        <v>475</v>
      </c>
      <c r="I34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6" s="9" t="str">
        <f>VLOOKUP(Table1[[#This Row],[Área avaliada]],Endereços!A:B,2,0)</f>
        <v>Área Azul</v>
      </c>
      <c r="K346" t="s">
        <v>510</v>
      </c>
    </row>
    <row r="347" spans="1:11" x14ac:dyDescent="0.3">
      <c r="A347">
        <v>346</v>
      </c>
      <c r="B347" s="1">
        <v>45841.416261574101</v>
      </c>
      <c r="C347" s="1">
        <v>45841.418356481503</v>
      </c>
      <c r="D347" t="s">
        <v>22</v>
      </c>
      <c r="E347" t="s">
        <v>20</v>
      </c>
      <c r="F347" s="2">
        <v>12948</v>
      </c>
      <c r="G347" s="2" t="str">
        <f>VLOOKUP(F347,Produtos!A:B,2,FALSE)</f>
        <v>BRAHMA CHOPP ZERO LATA 350 SH CX C12 NPA</v>
      </c>
      <c r="H347" t="s">
        <v>475</v>
      </c>
      <c r="I34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7" s="9" t="str">
        <f>VLOOKUP(Table1[[#This Row],[Área avaliada]],Endereços!A:B,2,0)</f>
        <v>Área Azul</v>
      </c>
      <c r="K347" t="str">
        <f>VLOOKUP(Table1[[#This Row],[Nome do avaliador ]],M:N,2,0)</f>
        <v>B</v>
      </c>
    </row>
    <row r="348" spans="1:11" x14ac:dyDescent="0.3">
      <c r="A348">
        <v>347</v>
      </c>
      <c r="B348" s="1">
        <v>45841.418553240699</v>
      </c>
      <c r="C348" s="1">
        <v>45841.4199884259</v>
      </c>
      <c r="D348" t="s">
        <v>22</v>
      </c>
      <c r="E348" t="s">
        <v>20</v>
      </c>
      <c r="F348" s="2">
        <v>21020</v>
      </c>
      <c r="G348" s="2" t="str">
        <f>VLOOKUP(F348,Produtos!A:B,2,FALSE)</f>
        <v>BUDWEISER LT SLEEK 350ML CX CART C12</v>
      </c>
      <c r="H348" t="s">
        <v>475</v>
      </c>
      <c r="I34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8" s="9" t="str">
        <f>VLOOKUP(Table1[[#This Row],[Área avaliada]],Endereços!A:B,2,0)</f>
        <v>Área Azul</v>
      </c>
      <c r="K348" t="str">
        <f>VLOOKUP(Table1[[#This Row],[Nome do avaliador ]],M:N,2,0)</f>
        <v>B</v>
      </c>
    </row>
    <row r="349" spans="1:11" x14ac:dyDescent="0.3">
      <c r="A349">
        <v>348</v>
      </c>
      <c r="B349" s="1">
        <v>45841.4202083333</v>
      </c>
      <c r="C349" s="1">
        <v>45841.421747685199</v>
      </c>
      <c r="D349" t="s">
        <v>22</v>
      </c>
      <c r="E349" t="s">
        <v>25</v>
      </c>
      <c r="G349" t="e">
        <f>VLOOKUP(F349,Produtos!A:B,2,FALSE)</f>
        <v>#N/A</v>
      </c>
      <c r="H349" t="s">
        <v>477</v>
      </c>
      <c r="I34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9" s="9" t="str">
        <f>VLOOKUP(Table1[[#This Row],[Área avaliada]],Endereços!A:B,2,0)</f>
        <v>Área Azul</v>
      </c>
      <c r="K349" t="str">
        <f>VLOOKUP(Table1[[#This Row],[Nome do avaliador ]],M:N,2,0)</f>
        <v>B</v>
      </c>
    </row>
    <row r="350" spans="1:11" x14ac:dyDescent="0.3">
      <c r="A350">
        <v>349</v>
      </c>
      <c r="B350" s="1">
        <v>45842.305520833303</v>
      </c>
      <c r="C350" s="1">
        <v>45842.306134259299</v>
      </c>
      <c r="D350" t="s">
        <v>19</v>
      </c>
      <c r="E350" t="s">
        <v>20</v>
      </c>
      <c r="F350" s="2">
        <v>12948</v>
      </c>
      <c r="G350" s="2" t="str">
        <f>VLOOKUP(F350,Produtos!A:B,2,FALSE)</f>
        <v>BRAHMA CHOPP ZERO LATA 350 SH CX C12 NPA</v>
      </c>
      <c r="H350" t="s">
        <v>473</v>
      </c>
      <c r="I35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0" s="9" t="str">
        <f>VLOOKUP(Table1[[#This Row],[Área avaliada]],Endereços!A:B,2,0)</f>
        <v>Área Azul</v>
      </c>
      <c r="K350" t="str">
        <f>VLOOKUP(Table1[[#This Row],[Nome do avaliador ]],M:N,2,0)</f>
        <v>A</v>
      </c>
    </row>
    <row r="351" spans="1:11" x14ac:dyDescent="0.3">
      <c r="A351">
        <v>350</v>
      </c>
      <c r="B351" s="1">
        <v>45842.308784722198</v>
      </c>
      <c r="C351" s="1">
        <v>45842.309236111098</v>
      </c>
      <c r="D351" t="s">
        <v>19</v>
      </c>
      <c r="E351" t="s">
        <v>23</v>
      </c>
      <c r="F351" s="2">
        <v>9072</v>
      </c>
      <c r="G351" s="2" t="str">
        <f>VLOOKUP(F351,Produtos!A:B,2,FALSE)</f>
        <v>BOHEMIA NOVA EMBAL LT 350ML SH C/12 NPAL</v>
      </c>
      <c r="H351" t="s">
        <v>475</v>
      </c>
      <c r="I35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1" s="9" t="str">
        <f>VLOOKUP(Table1[[#This Row],[Área avaliada]],Endereços!A:B,2,0)</f>
        <v>Área Azul</v>
      </c>
      <c r="K351" t="str">
        <f>VLOOKUP(Table1[[#This Row],[Nome do avaliador ]],M:N,2,0)</f>
        <v>A</v>
      </c>
    </row>
    <row r="352" spans="1:11" x14ac:dyDescent="0.3">
      <c r="A352">
        <v>351</v>
      </c>
      <c r="B352" s="1">
        <v>45842.314583333296</v>
      </c>
      <c r="C352" s="1">
        <v>45842.315312500003</v>
      </c>
      <c r="D352" t="s">
        <v>19</v>
      </c>
      <c r="E352" t="s">
        <v>33</v>
      </c>
      <c r="F352" s="2">
        <v>2349</v>
      </c>
      <c r="G352" s="2" t="str">
        <f>VLOOKUP(F352,Produtos!A:B,2,FALSE)</f>
        <v>GUARANA CHP ANTARCTICA PET 2L CAIXA C/6</v>
      </c>
      <c r="H352" t="s">
        <v>473</v>
      </c>
      <c r="I35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2" s="9" t="str">
        <f>VLOOKUP(Table1[[#This Row],[Área avaliada]],Endereços!A:B,2,0)</f>
        <v>Área Verde</v>
      </c>
      <c r="K352" t="str">
        <f>VLOOKUP(Table1[[#This Row],[Nome do avaliador ]],M:N,2,0)</f>
        <v>A</v>
      </c>
    </row>
    <row r="353" spans="1:11" x14ac:dyDescent="0.3">
      <c r="A353">
        <v>352</v>
      </c>
      <c r="B353" s="1">
        <v>45842.324699074103</v>
      </c>
      <c r="C353" s="1">
        <v>45842.325393518498</v>
      </c>
      <c r="D353" t="s">
        <v>17</v>
      </c>
      <c r="E353" t="s">
        <v>23</v>
      </c>
      <c r="F353" s="2">
        <v>33818</v>
      </c>
      <c r="G353" s="2" t="str">
        <f>VLOOKUP(F353,Produtos!A:B,2,FALSE)</f>
        <v>ORIGINAL LT 350ML SH C/12 NP MULTIPACK</v>
      </c>
      <c r="H353" t="s">
        <v>475</v>
      </c>
      <c r="I35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3" s="9" t="str">
        <f>VLOOKUP(Table1[[#This Row],[Área avaliada]],Endereços!A:B,2,0)</f>
        <v>Área Azul</v>
      </c>
      <c r="K353" t="s">
        <v>510</v>
      </c>
    </row>
    <row r="354" spans="1:11" x14ac:dyDescent="0.3">
      <c r="A354">
        <v>353</v>
      </c>
      <c r="B354" s="1">
        <v>45842.325659722199</v>
      </c>
      <c r="C354" s="1">
        <v>45842.326122685197</v>
      </c>
      <c r="D354" t="s">
        <v>17</v>
      </c>
      <c r="E354" t="s">
        <v>23</v>
      </c>
      <c r="F354" s="2">
        <v>9068</v>
      </c>
      <c r="G354" s="2" t="str">
        <f>VLOOKUP(F354,Produtos!A:B,2,FALSE)</f>
        <v>SKOL LATA 350ML SH C/12 NPAL</v>
      </c>
      <c r="H354" t="s">
        <v>475</v>
      </c>
      <c r="I35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4" s="9" t="str">
        <f>VLOOKUP(Table1[[#This Row],[Área avaliada]],Endereços!A:B,2,0)</f>
        <v>Área Azul</v>
      </c>
      <c r="K354" t="s">
        <v>510</v>
      </c>
    </row>
    <row r="355" spans="1:11" x14ac:dyDescent="0.3">
      <c r="A355">
        <v>354</v>
      </c>
      <c r="B355" s="1">
        <v>45842.327696759297</v>
      </c>
      <c r="C355" s="1">
        <v>45842.329108796301</v>
      </c>
      <c r="D355" t="s">
        <v>17</v>
      </c>
      <c r="E355" t="s">
        <v>23</v>
      </c>
      <c r="F355" s="2">
        <v>17797</v>
      </c>
      <c r="G355" s="2" t="str">
        <f>VLOOKUP(F355,Produtos!A:B,2,FALSE)</f>
        <v>BRAHMA CHOPP LATA 350ML SH 18 MULTIPACK</v>
      </c>
      <c r="H355" t="s">
        <v>475</v>
      </c>
      <c r="I35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5" s="9" t="str">
        <f>VLOOKUP(Table1[[#This Row],[Área avaliada]],Endereços!A:B,2,0)</f>
        <v>Área Azul</v>
      </c>
      <c r="K355" t="s">
        <v>510</v>
      </c>
    </row>
    <row r="356" spans="1:11" x14ac:dyDescent="0.3">
      <c r="A356">
        <v>355</v>
      </c>
      <c r="B356" s="1">
        <v>45842.3898148148</v>
      </c>
      <c r="C356" s="1">
        <v>45842.390416666698</v>
      </c>
      <c r="D356" t="s">
        <v>17</v>
      </c>
      <c r="E356" t="s">
        <v>23</v>
      </c>
      <c r="F356" s="2">
        <v>1164</v>
      </c>
      <c r="G356" s="2" t="str">
        <f>VLOOKUP(F356,Produtos!A:B,2,FALSE)</f>
        <v>SUKITA UVA LATA 350ML SH C/12 NPAL</v>
      </c>
      <c r="H356" t="s">
        <v>475</v>
      </c>
      <c r="I35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6" s="9" t="str">
        <f>VLOOKUP(Table1[[#This Row],[Área avaliada]],Endereços!A:B,2,0)</f>
        <v>Área Azul</v>
      </c>
      <c r="K356" t="s">
        <v>510</v>
      </c>
    </row>
    <row r="357" spans="1:11" x14ac:dyDescent="0.3">
      <c r="A357">
        <v>356</v>
      </c>
      <c r="B357" s="1">
        <v>45842.390428240702</v>
      </c>
      <c r="C357" s="1">
        <v>45842.391111111101</v>
      </c>
      <c r="D357" t="s">
        <v>17</v>
      </c>
      <c r="E357" t="s">
        <v>23</v>
      </c>
      <c r="F357" s="2">
        <v>9081</v>
      </c>
      <c r="G357" s="2" t="str">
        <f>VLOOKUP(F357,Produtos!A:B,2,FALSE)</f>
        <v>MALZBIER BRAHMA LATA 350ML SH C/12 NPAL</v>
      </c>
      <c r="H357" t="s">
        <v>475</v>
      </c>
      <c r="I35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7" s="9" t="str">
        <f>VLOOKUP(Table1[[#This Row],[Área avaliada]],Endereços!A:B,2,0)</f>
        <v>Área Azul</v>
      </c>
      <c r="K357" t="s">
        <v>510</v>
      </c>
    </row>
    <row r="358" spans="1:11" x14ac:dyDescent="0.3">
      <c r="A358">
        <v>357</v>
      </c>
      <c r="B358" s="1">
        <v>45842.403495370403</v>
      </c>
      <c r="C358" s="1">
        <v>45842.404085648101</v>
      </c>
      <c r="D358" t="s">
        <v>19</v>
      </c>
      <c r="E358" t="s">
        <v>23</v>
      </c>
      <c r="F358" s="2">
        <v>253</v>
      </c>
      <c r="G358" s="2" t="str">
        <f>VLOOKUP(F358,Produtos!A:B,2,FALSE)</f>
        <v>SUKITA PET 1L CAIXA C/6</v>
      </c>
      <c r="H358" t="s">
        <v>473</v>
      </c>
      <c r="I35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8" s="9" t="str">
        <f>VLOOKUP(Table1[[#This Row],[Área avaliada]],Endereços!A:B,2,0)</f>
        <v>Área Azul</v>
      </c>
      <c r="K358" t="str">
        <f>VLOOKUP(Table1[[#This Row],[Nome do avaliador ]],M:N,2,0)</f>
        <v>A</v>
      </c>
    </row>
    <row r="359" spans="1:11" x14ac:dyDescent="0.3">
      <c r="A359">
        <v>358</v>
      </c>
      <c r="B359" s="1">
        <v>45842.405729166698</v>
      </c>
      <c r="C359" s="1">
        <v>45842.406817129602</v>
      </c>
      <c r="D359" t="s">
        <v>19</v>
      </c>
      <c r="E359" t="s">
        <v>23</v>
      </c>
      <c r="F359" s="2">
        <v>1166</v>
      </c>
      <c r="G359" s="2" t="str">
        <f>VLOOKUP(F359,Produtos!A:B,2,FALSE)</f>
        <v>SUKITA UVA PET 2L CAIXA C/6</v>
      </c>
      <c r="H359" t="s">
        <v>475</v>
      </c>
      <c r="I3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9" s="9" t="str">
        <f>VLOOKUP(Table1[[#This Row],[Área avaliada]],Endereços!A:B,2,0)</f>
        <v>Área Azul</v>
      </c>
      <c r="K359" t="str">
        <f>VLOOKUP(Table1[[#This Row],[Nome do avaliador ]],M:N,2,0)</f>
        <v>A</v>
      </c>
    </row>
    <row r="360" spans="1:11" x14ac:dyDescent="0.3">
      <c r="A360">
        <v>359</v>
      </c>
      <c r="B360" s="1">
        <v>45842.409259259301</v>
      </c>
      <c r="C360" s="1">
        <v>45842.410358796304</v>
      </c>
      <c r="D360" t="s">
        <v>19</v>
      </c>
      <c r="E360" t="s">
        <v>25</v>
      </c>
      <c r="F360" s="2">
        <v>33818</v>
      </c>
      <c r="G360" s="2" t="str">
        <f>VLOOKUP(F360,Produtos!A:B,2,FALSE)</f>
        <v>ORIGINAL LT 350ML SH C/12 NP MULTIPACK</v>
      </c>
      <c r="H360" t="s">
        <v>475</v>
      </c>
      <c r="I3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0" s="9" t="str">
        <f>VLOOKUP(Table1[[#This Row],[Área avaliada]],Endereços!A:B,2,0)</f>
        <v>Área Azul</v>
      </c>
      <c r="K360" t="str">
        <f>VLOOKUP(Table1[[#This Row],[Nome do avaliador ]],M:N,2,0)</f>
        <v>A</v>
      </c>
    </row>
    <row r="361" spans="1:11" x14ac:dyDescent="0.3">
      <c r="A361">
        <v>360</v>
      </c>
      <c r="B361" s="1">
        <v>45842.845798611103</v>
      </c>
      <c r="C361" s="1">
        <v>45842.8491782407</v>
      </c>
      <c r="D361" t="s">
        <v>35</v>
      </c>
      <c r="E361" t="s">
        <v>12</v>
      </c>
      <c r="F361" t="s">
        <v>37</v>
      </c>
      <c r="G361" t="e">
        <f>VLOOKUP(F361,Produtos!A:B,2,FALSE)</f>
        <v>#N/A</v>
      </c>
      <c r="H361" t="s">
        <v>479</v>
      </c>
      <c r="I3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1" s="9" t="str">
        <f>VLOOKUP(Table1[[#This Row],[Área avaliada]],Endereços!A:B,2,0)</f>
        <v>Área Verde</v>
      </c>
      <c r="K361" t="str">
        <f>VLOOKUP(Table1[[#This Row],[Nome do avaliador ]],M:N,2,0)</f>
        <v>B</v>
      </c>
    </row>
    <row r="362" spans="1:11" x14ac:dyDescent="0.3">
      <c r="A362">
        <v>361</v>
      </c>
      <c r="B362" s="1">
        <v>45845.330092592601</v>
      </c>
      <c r="C362" s="1">
        <v>45845.330682870401</v>
      </c>
      <c r="D362" t="s">
        <v>19</v>
      </c>
      <c r="E362" t="s">
        <v>23</v>
      </c>
      <c r="F362" s="2">
        <v>1166</v>
      </c>
      <c r="G362" s="2" t="str">
        <f>VLOOKUP(F362,Produtos!A:B,2,FALSE)</f>
        <v>SUKITA UVA PET 2L CAIXA C/6</v>
      </c>
      <c r="H362" t="s">
        <v>474</v>
      </c>
      <c r="I3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2" s="9" t="str">
        <f>VLOOKUP(Table1[[#This Row],[Área avaliada]],Endereços!A:B,2,0)</f>
        <v>Área Azul</v>
      </c>
      <c r="K362" t="str">
        <f>VLOOKUP(Table1[[#This Row],[Nome do avaliador ]],M:N,2,0)</f>
        <v>A</v>
      </c>
    </row>
    <row r="363" spans="1:11" x14ac:dyDescent="0.3">
      <c r="A363">
        <v>362</v>
      </c>
      <c r="B363" s="1">
        <v>45845.333043981504</v>
      </c>
      <c r="C363" s="1">
        <v>45845.334641203699</v>
      </c>
      <c r="D363" t="s">
        <v>19</v>
      </c>
      <c r="E363" t="s">
        <v>23</v>
      </c>
      <c r="F363" s="2">
        <v>22177</v>
      </c>
      <c r="G363" s="2" t="str">
        <f>VLOOKUP(F363,Produtos!A:B,2,FALSE)</f>
        <v>BUDWEISER ZERO LT SLEEK 350ML C8 CX CART</v>
      </c>
      <c r="H363" t="s">
        <v>473</v>
      </c>
      <c r="I3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3" s="9" t="str">
        <f>VLOOKUP(Table1[[#This Row],[Área avaliada]],Endereços!A:B,2,0)</f>
        <v>Área Azul</v>
      </c>
      <c r="K363" t="str">
        <f>VLOOKUP(Table1[[#This Row],[Nome do avaliador ]],M:N,2,0)</f>
        <v>A</v>
      </c>
    </row>
    <row r="364" spans="1:11" x14ac:dyDescent="0.3">
      <c r="A364">
        <v>363</v>
      </c>
      <c r="B364" s="1">
        <v>45845.59</v>
      </c>
      <c r="C364" s="1">
        <v>45845.590532407397</v>
      </c>
      <c r="D364" t="s">
        <v>17</v>
      </c>
      <c r="E364" t="s">
        <v>23</v>
      </c>
      <c r="F364" s="2">
        <v>14135</v>
      </c>
      <c r="G364" s="2" t="str">
        <f>VLOOKUP(F364,Produtos!A:B,2,FALSE)</f>
        <v>BUDWEISER LT 473ML SIX-PACK SH C/2 NPAL</v>
      </c>
      <c r="H364" t="s">
        <v>475</v>
      </c>
      <c r="I3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4" s="9" t="str">
        <f>VLOOKUP(Table1[[#This Row],[Área avaliada]],Endereços!A:B,2,0)</f>
        <v>Área Azul</v>
      </c>
      <c r="K364" t="s">
        <v>510</v>
      </c>
    </row>
    <row r="365" spans="1:11" x14ac:dyDescent="0.3">
      <c r="A365">
        <v>364</v>
      </c>
      <c r="B365" s="1">
        <v>45845.590115740699</v>
      </c>
      <c r="C365" s="1">
        <v>45845.5906481481</v>
      </c>
      <c r="D365" t="s">
        <v>17</v>
      </c>
      <c r="E365" t="s">
        <v>23</v>
      </c>
      <c r="F365" s="2">
        <v>14135</v>
      </c>
      <c r="G365" s="2" t="str">
        <f>VLOOKUP(F365,Produtos!A:B,2,FALSE)</f>
        <v>BUDWEISER LT 473ML SIX-PACK SH C/2 NPAL</v>
      </c>
      <c r="H365" t="s">
        <v>475</v>
      </c>
      <c r="I3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5" s="9" t="str">
        <f>VLOOKUP(Table1[[#This Row],[Área avaliada]],Endereços!A:B,2,0)</f>
        <v>Área Azul</v>
      </c>
      <c r="K365" t="s">
        <v>510</v>
      </c>
    </row>
    <row r="366" spans="1:11" x14ac:dyDescent="0.3">
      <c r="A366">
        <v>365</v>
      </c>
      <c r="B366" s="1">
        <v>45845.864340277803</v>
      </c>
      <c r="C366" s="1">
        <v>45845.865046296298</v>
      </c>
      <c r="D366" t="s">
        <v>28</v>
      </c>
      <c r="E366" t="s">
        <v>14</v>
      </c>
      <c r="G366" t="e">
        <f>VLOOKUP(F366,Produtos!A:B,2,FALSE)</f>
        <v>#N/A</v>
      </c>
      <c r="H366" t="s">
        <v>487</v>
      </c>
      <c r="I3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6" s="9" t="str">
        <f>VLOOKUP(Table1[[#This Row],[Área avaliada]],Endereços!A:B,2,0)</f>
        <v>Picking Baixo Giro</v>
      </c>
      <c r="K366" t="str">
        <f>VLOOKUP(Table1[[#This Row],[Nome do avaliador ]],M:N,2,0)</f>
        <v>A</v>
      </c>
    </row>
    <row r="367" spans="1:11" x14ac:dyDescent="0.3">
      <c r="A367">
        <v>366</v>
      </c>
      <c r="B367" s="1">
        <v>45846.649467592601</v>
      </c>
      <c r="C367" s="1">
        <v>45846.650115740696</v>
      </c>
      <c r="D367" t="s">
        <v>17</v>
      </c>
      <c r="E367" t="s">
        <v>23</v>
      </c>
      <c r="F367" s="2">
        <v>20651</v>
      </c>
      <c r="G367" s="2" t="str">
        <f>VLOOKUP(F367,Produtos!A:B,2,FALSE)</f>
        <v>CORONA N LT SLEEK 350ML CX 8</v>
      </c>
      <c r="H367" t="s">
        <v>475</v>
      </c>
      <c r="I3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7" s="9" t="str">
        <f>VLOOKUP(Table1[[#This Row],[Área avaliada]],Endereços!A:B,2,0)</f>
        <v>Área Azul</v>
      </c>
      <c r="K367" t="s">
        <v>510</v>
      </c>
    </row>
    <row r="368" spans="1:11" x14ac:dyDescent="0.3">
      <c r="A368">
        <v>367</v>
      </c>
      <c r="B368" s="1">
        <v>45846.650625000002</v>
      </c>
      <c r="C368" s="1">
        <v>45846.651145833297</v>
      </c>
      <c r="D368" t="s">
        <v>17</v>
      </c>
      <c r="E368" t="s">
        <v>23</v>
      </c>
      <c r="F368" s="2">
        <v>18490</v>
      </c>
      <c r="G368" s="2" t="str">
        <f>VLOOKUP(F368,Produtos!A:B,2,FALSE)</f>
        <v>PATAGONIA AMB LAG NAC LATA 473ML 6PACK</v>
      </c>
      <c r="H368" t="s">
        <v>475</v>
      </c>
      <c r="I3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8" s="9" t="str">
        <f>VLOOKUP(Table1[[#This Row],[Área avaliada]],Endereços!A:B,2,0)</f>
        <v>Área Azul</v>
      </c>
      <c r="K368" t="s">
        <v>510</v>
      </c>
    </row>
    <row r="369" spans="1:11" x14ac:dyDescent="0.3">
      <c r="A369">
        <v>368</v>
      </c>
      <c r="B369" s="1">
        <v>45847.418842592597</v>
      </c>
      <c r="C369" s="1">
        <v>45847.419652777797</v>
      </c>
      <c r="D369" t="s">
        <v>19</v>
      </c>
      <c r="E369" t="s">
        <v>23</v>
      </c>
      <c r="F369" s="2">
        <v>9274</v>
      </c>
      <c r="G369" s="2" t="str">
        <f>VLOOKUP(F369,Produtos!A:B,2,FALSE)</f>
        <v>PEPSI ZERO LATA 350ML SH C/12 NPAL</v>
      </c>
      <c r="H369" t="s">
        <v>473</v>
      </c>
      <c r="I3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9" s="9" t="str">
        <f>VLOOKUP(Table1[[#This Row],[Área avaliada]],Endereços!A:B,2,0)</f>
        <v>Área Azul</v>
      </c>
      <c r="K369" t="str">
        <f>VLOOKUP(Table1[[#This Row],[Nome do avaliador ]],M:N,2,0)</f>
        <v>A</v>
      </c>
    </row>
    <row r="370" spans="1:11" x14ac:dyDescent="0.3">
      <c r="A370">
        <v>369</v>
      </c>
      <c r="B370" s="1">
        <v>45847.422916666699</v>
      </c>
      <c r="C370" s="1">
        <v>45847.423796296302</v>
      </c>
      <c r="D370" t="s">
        <v>19</v>
      </c>
      <c r="E370" t="s">
        <v>23</v>
      </c>
      <c r="F370" s="2">
        <v>9083</v>
      </c>
      <c r="G370" s="2" t="str">
        <f>VLOOKUP(F370,Produtos!A:B,2,FALSE)</f>
        <v>SKOL LT 473ML SH C/12 NPAL</v>
      </c>
      <c r="H370" t="s">
        <v>473</v>
      </c>
      <c r="I3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0" s="9" t="str">
        <f>VLOOKUP(Table1[[#This Row],[Área avaliada]],Endereços!A:B,2,0)</f>
        <v>Área Azul</v>
      </c>
      <c r="K370" t="str">
        <f>VLOOKUP(Table1[[#This Row],[Nome do avaliador ]],M:N,2,0)</f>
        <v>A</v>
      </c>
    </row>
    <row r="371" spans="1:11" x14ac:dyDescent="0.3">
      <c r="A371">
        <v>370</v>
      </c>
      <c r="B371" s="1">
        <v>45847.449108796303</v>
      </c>
      <c r="C371" s="1">
        <v>45847.449768518498</v>
      </c>
      <c r="D371" t="s">
        <v>19</v>
      </c>
      <c r="E371" t="s">
        <v>23</v>
      </c>
      <c r="F371" s="2">
        <v>19229</v>
      </c>
      <c r="G371" s="2" t="str">
        <f>VLOOKUP(F371,Produtos!A:B,2,FALSE)</f>
        <v>RED BULL BR LATA 250ML SIX PACK NPAL</v>
      </c>
      <c r="H371" t="s">
        <v>475</v>
      </c>
      <c r="I3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1" s="9" t="str">
        <f>VLOOKUP(Table1[[#This Row],[Área avaliada]],Endereços!A:B,2,0)</f>
        <v>Área Azul</v>
      </c>
      <c r="K371" t="str">
        <f>VLOOKUP(Table1[[#This Row],[Nome do avaliador ]],M:N,2,0)</f>
        <v>A</v>
      </c>
    </row>
    <row r="372" spans="1:11" x14ac:dyDescent="0.3">
      <c r="A372">
        <v>371</v>
      </c>
      <c r="B372" s="1">
        <v>45847.4514583333</v>
      </c>
      <c r="C372" s="1">
        <v>45847.452187499999</v>
      </c>
      <c r="D372" t="s">
        <v>19</v>
      </c>
      <c r="E372" t="s">
        <v>25</v>
      </c>
      <c r="F372" s="2">
        <v>9091</v>
      </c>
      <c r="G372" s="2" t="str">
        <f>VLOOKUP(F372,Produtos!A:B,2,FALSE)</f>
        <v>TONICA ANTARCTICA LT 350ML SH C/12 NPAL</v>
      </c>
      <c r="H372" t="s">
        <v>475</v>
      </c>
      <c r="I3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2" s="9" t="str">
        <f>VLOOKUP(Table1[[#This Row],[Área avaliada]],Endereços!A:B,2,0)</f>
        <v>Área Azul</v>
      </c>
      <c r="K372" t="str">
        <f>VLOOKUP(Table1[[#This Row],[Nome do avaliador ]],M:N,2,0)</f>
        <v>A</v>
      </c>
    </row>
    <row r="373" spans="1:11" x14ac:dyDescent="0.3">
      <c r="A373">
        <v>372</v>
      </c>
      <c r="B373" s="1">
        <v>45847.4542013889</v>
      </c>
      <c r="C373" s="1">
        <v>45847.454733796301</v>
      </c>
      <c r="D373" t="s">
        <v>19</v>
      </c>
      <c r="E373" t="s">
        <v>20</v>
      </c>
      <c r="F373" s="2">
        <v>9320</v>
      </c>
      <c r="G373" s="2" t="str">
        <f>VLOOKUP(F373,Produtos!A:B,2,FALSE)</f>
        <v>BRAHMA CHOPP LT 473ML SH C/12 NPAL</v>
      </c>
      <c r="H373" t="s">
        <v>473</v>
      </c>
      <c r="I3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3" s="9" t="str">
        <f>VLOOKUP(Table1[[#This Row],[Área avaliada]],Endereços!A:B,2,0)</f>
        <v>Área Azul</v>
      </c>
      <c r="K373" t="str">
        <f>VLOOKUP(Table1[[#This Row],[Nome do avaliador ]],M:N,2,0)</f>
        <v>A</v>
      </c>
    </row>
    <row r="374" spans="1:11" x14ac:dyDescent="0.3">
      <c r="A374">
        <v>373</v>
      </c>
      <c r="B374" s="1">
        <v>45847.456990740699</v>
      </c>
      <c r="C374" s="1">
        <v>45847.457638888904</v>
      </c>
      <c r="D374" t="s">
        <v>19</v>
      </c>
      <c r="E374" t="s">
        <v>23</v>
      </c>
      <c r="F374" s="2">
        <v>9085</v>
      </c>
      <c r="G374" s="2" t="str">
        <f>VLOOKUP(F374,Produtos!A:B,2,FALSE)</f>
        <v>GUARANA CHP ANTARCT DIET LT350ML SHC/12</v>
      </c>
      <c r="H374" t="s">
        <v>473</v>
      </c>
      <c r="I3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4" s="9" t="str">
        <f>VLOOKUP(Table1[[#This Row],[Área avaliada]],Endereços!A:B,2,0)</f>
        <v>Área Azul</v>
      </c>
      <c r="K374" t="str">
        <f>VLOOKUP(Table1[[#This Row],[Nome do avaliador ]],M:N,2,0)</f>
        <v>A</v>
      </c>
    </row>
    <row r="375" spans="1:11" x14ac:dyDescent="0.3">
      <c r="A375">
        <v>374</v>
      </c>
      <c r="B375" s="1">
        <v>45847.602592592601</v>
      </c>
      <c r="C375" s="1">
        <v>45847.6030902778</v>
      </c>
      <c r="D375" t="s">
        <v>17</v>
      </c>
      <c r="E375" t="s">
        <v>20</v>
      </c>
      <c r="F375" s="2">
        <v>9320</v>
      </c>
      <c r="G375" s="2" t="str">
        <f>VLOOKUP(F375,Produtos!A:B,2,FALSE)</f>
        <v>BRAHMA CHOPP LT 473ML SH C/12 NPAL</v>
      </c>
      <c r="H375" t="s">
        <v>475</v>
      </c>
      <c r="I3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5" s="9" t="str">
        <f>VLOOKUP(Table1[[#This Row],[Área avaliada]],Endereços!A:B,2,0)</f>
        <v>Área Azul</v>
      </c>
      <c r="K375" t="s">
        <v>510</v>
      </c>
    </row>
    <row r="376" spans="1:11" x14ac:dyDescent="0.3">
      <c r="A376">
        <v>375</v>
      </c>
      <c r="B376" s="1">
        <v>45847.603171296301</v>
      </c>
      <c r="C376" s="1">
        <v>45847.603796296302</v>
      </c>
      <c r="D376" t="s">
        <v>17</v>
      </c>
      <c r="E376" t="s">
        <v>20</v>
      </c>
      <c r="F376" s="2">
        <v>9320</v>
      </c>
      <c r="G376" s="2" t="str">
        <f>VLOOKUP(F376,Produtos!A:B,2,FALSE)</f>
        <v>BRAHMA CHOPP LT 473ML SH C/12 NPAL</v>
      </c>
      <c r="H376" t="s">
        <v>475</v>
      </c>
      <c r="I3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6" s="9" t="str">
        <f>VLOOKUP(Table1[[#This Row],[Área avaliada]],Endereços!A:B,2,0)</f>
        <v>Área Azul</v>
      </c>
      <c r="K376" t="s">
        <v>510</v>
      </c>
    </row>
    <row r="377" spans="1:11" x14ac:dyDescent="0.3">
      <c r="A377">
        <v>376</v>
      </c>
      <c r="B377" s="1">
        <v>45847.671365740702</v>
      </c>
      <c r="C377" s="1">
        <v>45847.672708333303</v>
      </c>
      <c r="D377" t="s">
        <v>38</v>
      </c>
      <c r="E377" t="s">
        <v>23</v>
      </c>
      <c r="F377" s="2">
        <v>22177</v>
      </c>
      <c r="G377" s="2" t="str">
        <f>VLOOKUP(F377,Produtos!A:B,2,FALSE)</f>
        <v>BUDWEISER ZERO LT SLEEK 350ML C8 CX CART</v>
      </c>
      <c r="H377" t="s">
        <v>473</v>
      </c>
      <c r="I3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7" s="9" t="str">
        <f>VLOOKUP(Table1[[#This Row],[Área avaliada]],Endereços!A:B,2,0)</f>
        <v>Área Azul</v>
      </c>
      <c r="K377" t="str">
        <f>VLOOKUP(Table1[[#This Row],[Nome do avaliador ]],M:N,2,0)</f>
        <v>B</v>
      </c>
    </row>
    <row r="378" spans="1:11" x14ac:dyDescent="0.3">
      <c r="A378">
        <v>377</v>
      </c>
      <c r="B378" s="1">
        <v>45847.6727314815</v>
      </c>
      <c r="C378" s="1">
        <v>45847.673611111102</v>
      </c>
      <c r="D378" t="s">
        <v>38</v>
      </c>
      <c r="E378" t="s">
        <v>23</v>
      </c>
      <c r="F378" s="2">
        <v>9081</v>
      </c>
      <c r="G378" s="2" t="str">
        <f>VLOOKUP(F378,Produtos!A:B,2,FALSE)</f>
        <v>MALZBIER BRAHMA LATA 350ML SH C/12 NPAL</v>
      </c>
      <c r="H378" t="s">
        <v>473</v>
      </c>
      <c r="I3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8" s="9" t="str">
        <f>VLOOKUP(Table1[[#This Row],[Área avaliada]],Endereços!A:B,2,0)</f>
        <v>Área Azul</v>
      </c>
      <c r="K378" t="str">
        <f>VLOOKUP(Table1[[#This Row],[Nome do avaliador ]],M:N,2,0)</f>
        <v>B</v>
      </c>
    </row>
    <row r="379" spans="1:11" x14ac:dyDescent="0.3">
      <c r="A379">
        <v>378</v>
      </c>
      <c r="B379" s="1">
        <v>45847.673726851797</v>
      </c>
      <c r="C379" s="1">
        <v>45847.674502314803</v>
      </c>
      <c r="D379" t="s">
        <v>38</v>
      </c>
      <c r="E379" t="s">
        <v>23</v>
      </c>
      <c r="F379" s="2">
        <v>9096</v>
      </c>
      <c r="G379" s="2" t="str">
        <f>VLOOKUP(F379,Produtos!A:B,2,FALSE)</f>
        <v>PEPSI COLA LATA 350ML SH C/12 NPAL</v>
      </c>
      <c r="H379" t="s">
        <v>474</v>
      </c>
      <c r="I3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9" s="9" t="str">
        <f>VLOOKUP(Table1[[#This Row],[Área avaliada]],Endereços!A:B,2,0)</f>
        <v>Área Azul</v>
      </c>
      <c r="K379" t="str">
        <f>VLOOKUP(Table1[[#This Row],[Nome do avaliador ]],M:N,2,0)</f>
        <v>B</v>
      </c>
    </row>
    <row r="380" spans="1:11" x14ac:dyDescent="0.3">
      <c r="A380">
        <v>379</v>
      </c>
      <c r="B380" s="1">
        <v>45847.674537036997</v>
      </c>
      <c r="C380" s="1">
        <v>45847.675763888903</v>
      </c>
      <c r="D380" t="s">
        <v>38</v>
      </c>
      <c r="E380" t="s">
        <v>33</v>
      </c>
      <c r="F380" s="2">
        <v>33818</v>
      </c>
      <c r="G380" s="2" t="str">
        <f>VLOOKUP(F380,Produtos!A:B,2,FALSE)</f>
        <v>ORIGINAL LT 350ML SH C/12 NP MULTIPACK</v>
      </c>
      <c r="H380" t="s">
        <v>473</v>
      </c>
      <c r="I3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0" s="9" t="str">
        <f>VLOOKUP(Table1[[#This Row],[Área avaliada]],Endereços!A:B,2,0)</f>
        <v>Área Verde</v>
      </c>
      <c r="K380" t="str">
        <f>VLOOKUP(Table1[[#This Row],[Nome do avaliador ]],M:N,2,0)</f>
        <v>B</v>
      </c>
    </row>
    <row r="381" spans="1:11" x14ac:dyDescent="0.3">
      <c r="A381">
        <v>380</v>
      </c>
      <c r="B381" s="1">
        <v>45847.677974537</v>
      </c>
      <c r="C381" s="1">
        <v>45847.678576388898</v>
      </c>
      <c r="D381" t="s">
        <v>38</v>
      </c>
      <c r="E381" t="s">
        <v>23</v>
      </c>
      <c r="F381" s="2">
        <v>33818</v>
      </c>
      <c r="G381" s="2" t="str">
        <f>VLOOKUP(F381,Produtos!A:B,2,FALSE)</f>
        <v>ORIGINAL LT 350ML SH C/12 NP MULTIPACK</v>
      </c>
      <c r="H381" t="s">
        <v>474</v>
      </c>
      <c r="I3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1" s="9" t="str">
        <f>VLOOKUP(Table1[[#This Row],[Área avaliada]],Endereços!A:B,2,0)</f>
        <v>Área Azul</v>
      </c>
      <c r="K381" t="str">
        <f>VLOOKUP(Table1[[#This Row],[Nome do avaliador ]],M:N,2,0)</f>
        <v>B</v>
      </c>
    </row>
    <row r="382" spans="1:11" x14ac:dyDescent="0.3">
      <c r="A382">
        <v>381</v>
      </c>
      <c r="B382" s="1">
        <v>45847.770057870403</v>
      </c>
      <c r="C382" s="1">
        <v>45847.771307870396</v>
      </c>
      <c r="D382" t="s">
        <v>22</v>
      </c>
      <c r="E382" t="s">
        <v>23</v>
      </c>
      <c r="G382" t="e">
        <f>VLOOKUP(F382,Produtos!A:B,2,FALSE)</f>
        <v>#N/A</v>
      </c>
      <c r="H382" t="s">
        <v>477</v>
      </c>
      <c r="I3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2" s="9" t="str">
        <f>VLOOKUP(Table1[[#This Row],[Área avaliada]],Endereços!A:B,2,0)</f>
        <v>Área Azul</v>
      </c>
      <c r="K382" t="str">
        <f>VLOOKUP(Table1[[#This Row],[Nome do avaliador ]],M:N,2,0)</f>
        <v>B</v>
      </c>
    </row>
    <row r="383" spans="1:11" x14ac:dyDescent="0.3">
      <c r="A383">
        <v>382</v>
      </c>
      <c r="B383" s="1">
        <v>45847.770057870403</v>
      </c>
      <c r="C383" s="1">
        <v>45847.771307870396</v>
      </c>
      <c r="D383" t="s">
        <v>22</v>
      </c>
      <c r="E383" t="s">
        <v>23</v>
      </c>
      <c r="G383" t="e">
        <f>VLOOKUP(F383,Produtos!A:B,2,FALSE)</f>
        <v>#N/A</v>
      </c>
      <c r="H383" t="s">
        <v>477</v>
      </c>
      <c r="I3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3" s="9" t="str">
        <f>VLOOKUP(Table1[[#This Row],[Área avaliada]],Endereços!A:B,2,0)</f>
        <v>Área Azul</v>
      </c>
      <c r="K383" t="str">
        <f>VLOOKUP(Table1[[#This Row],[Nome do avaliador ]],M:N,2,0)</f>
        <v>B</v>
      </c>
    </row>
    <row r="384" spans="1:11" x14ac:dyDescent="0.3">
      <c r="A384">
        <v>383</v>
      </c>
      <c r="B384" s="1">
        <v>45847.7714583333</v>
      </c>
      <c r="C384" s="1">
        <v>45847.772662037001</v>
      </c>
      <c r="D384" t="s">
        <v>22</v>
      </c>
      <c r="E384" t="s">
        <v>14</v>
      </c>
      <c r="G384" t="e">
        <f>VLOOKUP(F384,Produtos!A:B,2,FALSE)</f>
        <v>#N/A</v>
      </c>
      <c r="H384" t="s">
        <v>477</v>
      </c>
      <c r="I3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4" s="9" t="str">
        <f>VLOOKUP(Table1[[#This Row],[Área avaliada]],Endereços!A:B,2,0)</f>
        <v>Picking Baixo Giro</v>
      </c>
      <c r="K384" t="str">
        <f>VLOOKUP(Table1[[#This Row],[Nome do avaliador ]],M:N,2,0)</f>
        <v>B</v>
      </c>
    </row>
    <row r="385" spans="1:11" x14ac:dyDescent="0.3">
      <c r="A385">
        <v>384</v>
      </c>
      <c r="B385" s="1">
        <v>45847.772731481498</v>
      </c>
      <c r="C385" s="1">
        <v>45847.775335648097</v>
      </c>
      <c r="D385" t="s">
        <v>22</v>
      </c>
      <c r="E385" t="s">
        <v>18</v>
      </c>
      <c r="G385" t="e">
        <f>VLOOKUP(F385,Produtos!A:B,2,FALSE)</f>
        <v>#N/A</v>
      </c>
      <c r="H385" t="s">
        <v>483</v>
      </c>
      <c r="I3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5" s="9" t="str">
        <f>VLOOKUP(Table1[[#This Row],[Área avaliada]],Endereços!A:B,2,0)</f>
        <v>Área Vermelho</v>
      </c>
      <c r="K385" t="str">
        <f>VLOOKUP(Table1[[#This Row],[Nome do avaliador ]],M:N,2,0)</f>
        <v>B</v>
      </c>
    </row>
    <row r="386" spans="1:11" x14ac:dyDescent="0.3">
      <c r="A386">
        <v>385</v>
      </c>
      <c r="B386" s="1">
        <v>45848.397395833301</v>
      </c>
      <c r="C386" s="1">
        <v>45848.3980787037</v>
      </c>
      <c r="D386" t="s">
        <v>17</v>
      </c>
      <c r="E386" t="s">
        <v>23</v>
      </c>
      <c r="F386" s="2">
        <v>9320</v>
      </c>
      <c r="G386" s="2" t="str">
        <f>VLOOKUP(F386,Produtos!A:B,2,FALSE)</f>
        <v>BRAHMA CHOPP LT 473ML SH C/12 NPAL</v>
      </c>
      <c r="H386" t="s">
        <v>475</v>
      </c>
      <c r="I3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6" s="9" t="str">
        <f>VLOOKUP(Table1[[#This Row],[Área avaliada]],Endereços!A:B,2,0)</f>
        <v>Área Azul</v>
      </c>
      <c r="K386" t="s">
        <v>510</v>
      </c>
    </row>
    <row r="387" spans="1:11" x14ac:dyDescent="0.3">
      <c r="A387">
        <v>386</v>
      </c>
      <c r="B387" s="1">
        <v>45848.398101851897</v>
      </c>
      <c r="C387" s="1">
        <v>45848.398657407401</v>
      </c>
      <c r="D387" t="s">
        <v>17</v>
      </c>
      <c r="E387" t="s">
        <v>23</v>
      </c>
      <c r="F387" s="2">
        <v>9096</v>
      </c>
      <c r="G387" s="2" t="str">
        <f>VLOOKUP(F387,Produtos!A:B,2,FALSE)</f>
        <v>PEPSI COLA LATA 350ML SH C/12 NPAL</v>
      </c>
      <c r="H387" t="s">
        <v>475</v>
      </c>
      <c r="I3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7" s="9" t="str">
        <f>VLOOKUP(Table1[[#This Row],[Área avaliada]],Endereços!A:B,2,0)</f>
        <v>Área Azul</v>
      </c>
      <c r="K387" t="s">
        <v>510</v>
      </c>
    </row>
    <row r="388" spans="1:11" x14ac:dyDescent="0.3">
      <c r="A388">
        <v>387</v>
      </c>
      <c r="B388" s="1">
        <v>45848.398668981499</v>
      </c>
      <c r="C388" s="1">
        <v>45848.399189814802</v>
      </c>
      <c r="D388" t="s">
        <v>17</v>
      </c>
      <c r="E388" t="s">
        <v>23</v>
      </c>
      <c r="F388" s="2">
        <v>18137</v>
      </c>
      <c r="G388" s="2" t="str">
        <f>VLOOKUP(F388,Produtos!A:B,2,FALSE)</f>
        <v>GUARANA CHP ANTARCTICA PET 3L C4 SH LISO</v>
      </c>
      <c r="H388" t="s">
        <v>475</v>
      </c>
      <c r="I3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8" s="9" t="str">
        <f>VLOOKUP(Table1[[#This Row],[Área avaliada]],Endereços!A:B,2,0)</f>
        <v>Área Azul</v>
      </c>
      <c r="K388" t="s">
        <v>510</v>
      </c>
    </row>
    <row r="389" spans="1:11" x14ac:dyDescent="0.3">
      <c r="A389">
        <v>388</v>
      </c>
      <c r="B389" s="1">
        <v>45848.440983796303</v>
      </c>
      <c r="C389" s="1">
        <v>45848.441874999997</v>
      </c>
      <c r="D389" t="s">
        <v>19</v>
      </c>
      <c r="E389" t="s">
        <v>23</v>
      </c>
      <c r="F389" s="2">
        <v>30942</v>
      </c>
      <c r="G389" s="2" t="str">
        <f>VLOOKUP(F389,Produtos!A:B,2,FALSE)</f>
        <v>SPATEN N LONG NECK 330ML SIX-PACK SH C4</v>
      </c>
      <c r="H389" t="s">
        <v>485</v>
      </c>
      <c r="I3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9" s="9" t="str">
        <f>VLOOKUP(Table1[[#This Row],[Área avaliada]],Endereços!A:B,2,0)</f>
        <v>Área Azul</v>
      </c>
      <c r="K389" t="str">
        <f>VLOOKUP(Table1[[#This Row],[Nome do avaliador ]],M:N,2,0)</f>
        <v>A</v>
      </c>
    </row>
    <row r="390" spans="1:11" x14ac:dyDescent="0.3">
      <c r="A390">
        <v>389</v>
      </c>
      <c r="B390" s="1">
        <v>45848.654293981497</v>
      </c>
      <c r="C390" s="1">
        <v>45848.654930555596</v>
      </c>
      <c r="D390" t="s">
        <v>21</v>
      </c>
      <c r="E390" t="s">
        <v>18</v>
      </c>
      <c r="G390" t="e">
        <f>VLOOKUP(F390,Produtos!A:B,2,FALSE)</f>
        <v>#N/A</v>
      </c>
      <c r="H390" t="s">
        <v>477</v>
      </c>
      <c r="I3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0" s="9" t="str">
        <f>VLOOKUP(Table1[[#This Row],[Área avaliada]],Endereços!A:B,2,0)</f>
        <v>Área Vermelho</v>
      </c>
      <c r="K390" t="str">
        <f>VLOOKUP(Table1[[#This Row],[Nome do avaliador ]],M:N,2,0)</f>
        <v>B</v>
      </c>
    </row>
    <row r="391" spans="1:11" x14ac:dyDescent="0.3">
      <c r="A391">
        <v>390</v>
      </c>
      <c r="B391" s="1">
        <v>45848.692233796297</v>
      </c>
      <c r="C391" s="1">
        <v>45848.694791666698</v>
      </c>
      <c r="D391" t="s">
        <v>22</v>
      </c>
      <c r="E391" t="s">
        <v>20</v>
      </c>
      <c r="F391" s="2">
        <v>9069</v>
      </c>
      <c r="G391" s="2" t="str">
        <f>VLOOKUP(F391,Produtos!A:B,2,FALSE)</f>
        <v>BRAHMA CHOPP LATA 350ML SH C/12 NPAL</v>
      </c>
      <c r="H391" t="s">
        <v>475</v>
      </c>
      <c r="I3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1" s="9" t="str">
        <f>VLOOKUP(Table1[[#This Row],[Área avaliada]],Endereços!A:B,2,0)</f>
        <v>Área Azul</v>
      </c>
      <c r="K391" t="str">
        <f>VLOOKUP(Table1[[#This Row],[Nome do avaliador ]],M:N,2,0)</f>
        <v>B</v>
      </c>
    </row>
    <row r="392" spans="1:11" x14ac:dyDescent="0.3">
      <c r="A392">
        <v>391</v>
      </c>
      <c r="B392" s="1">
        <v>45848.695011574098</v>
      </c>
      <c r="C392" s="1">
        <v>45848.696643518502</v>
      </c>
      <c r="D392" t="s">
        <v>22</v>
      </c>
      <c r="E392" t="s">
        <v>20</v>
      </c>
      <c r="F392" s="2">
        <v>21020</v>
      </c>
      <c r="G392" s="2" t="str">
        <f>VLOOKUP(F392,Produtos!A:B,2,FALSE)</f>
        <v>BUDWEISER LT SLEEK 350ML CX CART C12</v>
      </c>
      <c r="H392" t="s">
        <v>475</v>
      </c>
      <c r="I3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2" s="9" t="str">
        <f>VLOOKUP(Table1[[#This Row],[Área avaliada]],Endereços!A:B,2,0)</f>
        <v>Área Azul</v>
      </c>
      <c r="K392" t="str">
        <f>VLOOKUP(Table1[[#This Row],[Nome do avaliador ]],M:N,2,0)</f>
        <v>B</v>
      </c>
    </row>
    <row r="393" spans="1:11" x14ac:dyDescent="0.3">
      <c r="A393">
        <v>392</v>
      </c>
      <c r="B393" s="1">
        <v>45848.7124189815</v>
      </c>
      <c r="C393" s="1">
        <v>45848.716296296298</v>
      </c>
      <c r="D393" t="s">
        <v>35</v>
      </c>
      <c r="E393" t="s">
        <v>12</v>
      </c>
      <c r="F393" t="s">
        <v>36</v>
      </c>
      <c r="G393" t="e">
        <f>VLOOKUP(F393,Produtos!A:B,2,FALSE)</f>
        <v>#N/A</v>
      </c>
      <c r="H393" t="s">
        <v>479</v>
      </c>
      <c r="I3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3" s="9" t="str">
        <f>VLOOKUP(Table1[[#This Row],[Área avaliada]],Endereços!A:B,2,0)</f>
        <v>Área Verde</v>
      </c>
      <c r="K393" t="str">
        <f>VLOOKUP(Table1[[#This Row],[Nome do avaliador ]],M:N,2,0)</f>
        <v>B</v>
      </c>
    </row>
    <row r="394" spans="1:11" x14ac:dyDescent="0.3">
      <c r="A394">
        <v>393</v>
      </c>
      <c r="B394" s="1">
        <v>45849.320254629602</v>
      </c>
      <c r="C394" s="1">
        <v>45849.320949074099</v>
      </c>
      <c r="D394" t="s">
        <v>19</v>
      </c>
      <c r="E394" t="s">
        <v>23</v>
      </c>
      <c r="F394" s="2">
        <v>9072</v>
      </c>
      <c r="G394" s="2" t="str">
        <f>VLOOKUP(F394,Produtos!A:B,2,FALSE)</f>
        <v>BOHEMIA NOVA EMBAL LT 350ML SH C/12 NPAL</v>
      </c>
      <c r="H394" t="s">
        <v>475</v>
      </c>
      <c r="I39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4" s="9" t="str">
        <f>VLOOKUP(Table1[[#This Row],[Área avaliada]],Endereços!A:B,2,0)</f>
        <v>Área Azul</v>
      </c>
      <c r="K394" t="str">
        <f>VLOOKUP(Table1[[#This Row],[Nome do avaliador ]],M:N,2,0)</f>
        <v>A</v>
      </c>
    </row>
    <row r="395" spans="1:11" x14ac:dyDescent="0.3">
      <c r="A395">
        <v>394</v>
      </c>
      <c r="B395" s="1">
        <v>45849.323449074102</v>
      </c>
      <c r="C395" s="1">
        <v>45849.324155092603</v>
      </c>
      <c r="D395" t="s">
        <v>19</v>
      </c>
      <c r="E395" t="s">
        <v>23</v>
      </c>
      <c r="F395" s="2">
        <v>19229</v>
      </c>
      <c r="G395" s="2" t="str">
        <f>VLOOKUP(F395,Produtos!A:B,2,FALSE)</f>
        <v>RED BULL BR LATA 250ML SIX PACK NPAL</v>
      </c>
      <c r="H395" t="s">
        <v>473</v>
      </c>
      <c r="I39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5" s="9" t="str">
        <f>VLOOKUP(Table1[[#This Row],[Área avaliada]],Endereços!A:B,2,0)</f>
        <v>Área Azul</v>
      </c>
      <c r="K395" t="str">
        <f>VLOOKUP(Table1[[#This Row],[Nome do avaliador ]],M:N,2,0)</f>
        <v>A</v>
      </c>
    </row>
    <row r="396" spans="1:11" x14ac:dyDescent="0.3">
      <c r="A396">
        <v>395</v>
      </c>
      <c r="B396" s="1">
        <v>45849.324328703697</v>
      </c>
      <c r="C396" s="1">
        <v>45849.325277777803</v>
      </c>
      <c r="D396" t="s">
        <v>19</v>
      </c>
      <c r="E396" t="s">
        <v>23</v>
      </c>
      <c r="F396" s="2">
        <v>9067</v>
      </c>
      <c r="G396" s="2" t="str">
        <f>VLOOKUP(F396,Produtos!A:B,2,FALSE)</f>
        <v>ANTARCTICA PILSEN LATA 350ML SH C/12 NPA</v>
      </c>
      <c r="H396" t="s">
        <v>475</v>
      </c>
      <c r="I39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6" s="9" t="str">
        <f>VLOOKUP(Table1[[#This Row],[Área avaliada]],Endereços!A:B,2,0)</f>
        <v>Área Azul</v>
      </c>
      <c r="K396" t="str">
        <f>VLOOKUP(Table1[[#This Row],[Nome do avaliador ]],M:N,2,0)</f>
        <v>A</v>
      </c>
    </row>
    <row r="397" spans="1:11" x14ac:dyDescent="0.3">
      <c r="A397">
        <v>396</v>
      </c>
      <c r="B397" s="1">
        <v>45849.329467592601</v>
      </c>
      <c r="C397" s="1">
        <v>45849.330138888901</v>
      </c>
      <c r="D397" t="s">
        <v>19</v>
      </c>
      <c r="E397" t="s">
        <v>20</v>
      </c>
      <c r="F397" s="2">
        <v>9320</v>
      </c>
      <c r="G397" s="2" t="str">
        <f>VLOOKUP(F397,Produtos!A:B,2,FALSE)</f>
        <v>BRAHMA CHOPP LT 473ML SH C/12 NPAL</v>
      </c>
      <c r="H397" t="s">
        <v>475</v>
      </c>
      <c r="I39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7" s="9" t="str">
        <f>VLOOKUP(Table1[[#This Row],[Área avaliada]],Endereços!A:B,2,0)</f>
        <v>Área Azul</v>
      </c>
      <c r="K397" t="str">
        <f>VLOOKUP(Table1[[#This Row],[Nome do avaliador ]],M:N,2,0)</f>
        <v>A</v>
      </c>
    </row>
    <row r="398" spans="1:11" x14ac:dyDescent="0.3">
      <c r="A398">
        <v>397</v>
      </c>
      <c r="B398" s="1">
        <v>45849.329768518503</v>
      </c>
      <c r="C398" s="1">
        <v>45849.330312500002</v>
      </c>
      <c r="D398" t="s">
        <v>17</v>
      </c>
      <c r="E398" t="s">
        <v>23</v>
      </c>
      <c r="F398" s="2">
        <v>33734</v>
      </c>
      <c r="G398" s="2" t="str">
        <f>VLOOKUP(F398,Produtos!A:B,2,FALSE)</f>
        <v>BEATS RED MIX LT 269ML SH C/8</v>
      </c>
      <c r="H398" t="s">
        <v>475</v>
      </c>
      <c r="I39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8" s="9" t="str">
        <f>VLOOKUP(Table1[[#This Row],[Área avaliada]],Endereços!A:B,2,0)</f>
        <v>Área Azul</v>
      </c>
      <c r="K398" t="s">
        <v>510</v>
      </c>
    </row>
    <row r="399" spans="1:11" x14ac:dyDescent="0.3">
      <c r="A399">
        <v>398</v>
      </c>
      <c r="B399" s="1">
        <v>45849.389849537001</v>
      </c>
      <c r="C399" s="1">
        <v>45849.390347222201</v>
      </c>
      <c r="D399" t="s">
        <v>17</v>
      </c>
      <c r="E399" t="s">
        <v>20</v>
      </c>
      <c r="F399" s="2">
        <v>18807</v>
      </c>
      <c r="G399" s="2" t="str">
        <f>VLOOKUP(F399,Produtos!A:B,2,FALSE)</f>
        <v>STELLA ARTOIS LN 330ML 6PACK SHR C 4</v>
      </c>
      <c r="H399" t="s">
        <v>475</v>
      </c>
      <c r="I39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9" s="9" t="str">
        <f>VLOOKUP(Table1[[#This Row],[Área avaliada]],Endereços!A:B,2,0)</f>
        <v>Área Azul</v>
      </c>
      <c r="K399" t="s">
        <v>510</v>
      </c>
    </row>
    <row r="400" spans="1:11" x14ac:dyDescent="0.3">
      <c r="A400">
        <v>399</v>
      </c>
      <c r="B400" s="1">
        <v>45849.393078703702</v>
      </c>
      <c r="C400" s="1">
        <v>45849.393634259301</v>
      </c>
      <c r="D400" t="s">
        <v>19</v>
      </c>
      <c r="E400" t="s">
        <v>25</v>
      </c>
      <c r="F400" s="2">
        <v>19310</v>
      </c>
      <c r="G400" s="2" t="str">
        <f>VLOOKUP(F400,Produtos!A:B,2,FALSE)</f>
        <v>ORIGINAL LATA 350ML CX CARTAO C/12 NPAL</v>
      </c>
      <c r="H400" t="s">
        <v>473</v>
      </c>
      <c r="I40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0" s="9" t="str">
        <f>VLOOKUP(Table1[[#This Row],[Área avaliada]],Endereços!A:B,2,0)</f>
        <v>Área Azul</v>
      </c>
      <c r="K400" t="str">
        <f>VLOOKUP(Table1[[#This Row],[Nome do avaliador ]],M:N,2,0)</f>
        <v>A</v>
      </c>
    </row>
    <row r="401" spans="1:11" x14ac:dyDescent="0.3">
      <c r="A401">
        <v>400</v>
      </c>
      <c r="B401" s="1">
        <v>45849.395231481503</v>
      </c>
      <c r="C401" s="1">
        <v>45849.396076388897</v>
      </c>
      <c r="D401" t="s">
        <v>19</v>
      </c>
      <c r="E401" t="s">
        <v>20</v>
      </c>
      <c r="F401" s="2">
        <v>32969</v>
      </c>
      <c r="G401" s="2" t="str">
        <f>VLOOKUP(F401,Produtos!A:B,2,FALSE)</f>
        <v>RED BULL S MOR E PESSEGO LT 250ML FOUR P</v>
      </c>
      <c r="H401" t="s">
        <v>473</v>
      </c>
      <c r="I40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1" s="9" t="str">
        <f>VLOOKUP(Table1[[#This Row],[Área avaliada]],Endereços!A:B,2,0)</f>
        <v>Área Azul</v>
      </c>
      <c r="K401" t="str">
        <f>VLOOKUP(Table1[[#This Row],[Nome do avaliador ]],M:N,2,0)</f>
        <v>A</v>
      </c>
    </row>
    <row r="402" spans="1:11" x14ac:dyDescent="0.3">
      <c r="A402">
        <v>401</v>
      </c>
      <c r="B402" s="1">
        <v>45849.465798611098</v>
      </c>
      <c r="C402" s="1">
        <v>45849.4663194444</v>
      </c>
      <c r="D402" t="s">
        <v>17</v>
      </c>
      <c r="E402" t="s">
        <v>23</v>
      </c>
      <c r="F402" s="2">
        <v>17725</v>
      </c>
      <c r="G402" s="2" t="str">
        <f>VLOOKUP(F402,Produtos!A:B,2,FALSE)</f>
        <v>ANTARCTICA PILSEN LT 350ML SH C/18 MULTP</v>
      </c>
      <c r="H402" t="s">
        <v>475</v>
      </c>
      <c r="I40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2" s="9" t="str">
        <f>VLOOKUP(Table1[[#This Row],[Área avaliada]],Endereços!A:B,2,0)</f>
        <v>Área Azul</v>
      </c>
      <c r="K402" t="s">
        <v>510</v>
      </c>
    </row>
    <row r="403" spans="1:11" x14ac:dyDescent="0.3">
      <c r="A403">
        <v>402</v>
      </c>
      <c r="B403" s="1">
        <v>45849.578009259298</v>
      </c>
      <c r="C403" s="1">
        <v>45849.578877314802</v>
      </c>
      <c r="D403" t="s">
        <v>38</v>
      </c>
      <c r="E403" t="s">
        <v>15</v>
      </c>
      <c r="F403" s="2">
        <v>9067</v>
      </c>
      <c r="G403" s="2" t="str">
        <f>VLOOKUP(F403,Produtos!A:B,2,FALSE)</f>
        <v>ANTARCTICA PILSEN LATA 350ML SH C/12 NPA</v>
      </c>
      <c r="H403" t="s">
        <v>473</v>
      </c>
      <c r="I40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3" s="9" t="str">
        <f>VLOOKUP(Table1[[#This Row],[Área avaliada]],Endereços!A:B,2,0)</f>
        <v>Picking Alto Giro</v>
      </c>
      <c r="K403" t="str">
        <f>VLOOKUP(Table1[[#This Row],[Nome do avaliador ]],M:N,2,0)</f>
        <v>B</v>
      </c>
    </row>
    <row r="404" spans="1:11" x14ac:dyDescent="0.3">
      <c r="A404">
        <v>403</v>
      </c>
      <c r="B404" s="1">
        <v>45849.578969907401</v>
      </c>
      <c r="C404" s="1">
        <v>45849.579884259299</v>
      </c>
      <c r="D404" t="s">
        <v>38</v>
      </c>
      <c r="E404" t="s">
        <v>15</v>
      </c>
      <c r="F404" s="2">
        <v>2349</v>
      </c>
      <c r="G404" s="2" t="str">
        <f>VLOOKUP(F404,Produtos!A:B,2,FALSE)</f>
        <v>GUARANA CHP ANTARCTICA PET 2L CAIXA C/6</v>
      </c>
      <c r="H404" t="s">
        <v>474</v>
      </c>
      <c r="I40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4" s="9" t="str">
        <f>VLOOKUP(Table1[[#This Row],[Área avaliada]],Endereços!A:B,2,0)</f>
        <v>Picking Alto Giro</v>
      </c>
      <c r="K404" t="str">
        <f>VLOOKUP(Table1[[#This Row],[Nome do avaliador ]],M:N,2,0)</f>
        <v>B</v>
      </c>
    </row>
    <row r="405" spans="1:11" x14ac:dyDescent="0.3">
      <c r="A405">
        <v>404</v>
      </c>
      <c r="B405" s="1">
        <v>45850.2559259259</v>
      </c>
      <c r="C405" s="1">
        <v>45850.257210648102</v>
      </c>
      <c r="D405" t="s">
        <v>17</v>
      </c>
      <c r="E405" t="s">
        <v>23</v>
      </c>
      <c r="F405" s="2">
        <v>9081</v>
      </c>
      <c r="G405" s="2" t="str">
        <f>VLOOKUP(F405,Produtos!A:B,2,FALSE)</f>
        <v>MALZBIER BRAHMA LATA 350ML SH C/12 NPAL</v>
      </c>
      <c r="H405" t="s">
        <v>475</v>
      </c>
      <c r="I40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5" s="9" t="str">
        <f>VLOOKUP(Table1[[#This Row],[Área avaliada]],Endereços!A:B,2,0)</f>
        <v>Área Azul</v>
      </c>
      <c r="K405" t="s">
        <v>510</v>
      </c>
    </row>
    <row r="406" spans="1:11" x14ac:dyDescent="0.3">
      <c r="A406">
        <v>405</v>
      </c>
      <c r="B406" s="1">
        <v>45850.257337962998</v>
      </c>
      <c r="C406" s="1">
        <v>45850.257997685199</v>
      </c>
      <c r="D406" t="s">
        <v>17</v>
      </c>
      <c r="E406" t="s">
        <v>23</v>
      </c>
      <c r="F406" s="2">
        <v>9081</v>
      </c>
      <c r="G406" s="2" t="str">
        <f>VLOOKUP(F406,Produtos!A:B,2,FALSE)</f>
        <v>MALZBIER BRAHMA LATA 350ML SH C/12 NPAL</v>
      </c>
      <c r="H406" t="s">
        <v>475</v>
      </c>
      <c r="I40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6" s="9" t="str">
        <f>VLOOKUP(Table1[[#This Row],[Área avaliada]],Endereços!A:B,2,0)</f>
        <v>Área Azul</v>
      </c>
      <c r="K406" t="s">
        <v>510</v>
      </c>
    </row>
    <row r="407" spans="1:11" x14ac:dyDescent="0.3">
      <c r="A407">
        <v>406</v>
      </c>
      <c r="B407" s="1">
        <v>45850.257337962998</v>
      </c>
      <c r="C407" s="1">
        <v>45850.258009259298</v>
      </c>
      <c r="D407" t="s">
        <v>17</v>
      </c>
      <c r="E407" t="s">
        <v>23</v>
      </c>
      <c r="F407" s="2">
        <v>9081</v>
      </c>
      <c r="G407" s="2" t="str">
        <f>VLOOKUP(F407,Produtos!A:B,2,FALSE)</f>
        <v>MALZBIER BRAHMA LATA 350ML SH C/12 NPAL</v>
      </c>
      <c r="H407" t="s">
        <v>475</v>
      </c>
      <c r="I40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7" s="9" t="str">
        <f>VLOOKUP(Table1[[#This Row],[Área avaliada]],Endereços!A:B,2,0)</f>
        <v>Área Azul</v>
      </c>
      <c r="K407" t="s">
        <v>510</v>
      </c>
    </row>
    <row r="408" spans="1:11" x14ac:dyDescent="0.3">
      <c r="A408">
        <v>407</v>
      </c>
      <c r="B408" s="1">
        <v>45850.274664351797</v>
      </c>
      <c r="C408" s="1">
        <v>45850.275092592601</v>
      </c>
      <c r="D408" t="s">
        <v>19</v>
      </c>
      <c r="E408" t="s">
        <v>23</v>
      </c>
      <c r="F408" s="2">
        <v>9085</v>
      </c>
      <c r="G408" s="2" t="str">
        <f>VLOOKUP(F408,Produtos!A:B,2,FALSE)</f>
        <v>GUARANA CHP ANTARCT DIET LT350ML SHC/12</v>
      </c>
      <c r="H408" t="s">
        <v>473</v>
      </c>
      <c r="I40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8" s="9" t="str">
        <f>VLOOKUP(Table1[[#This Row],[Área avaliada]],Endereços!A:B,2,0)</f>
        <v>Área Azul</v>
      </c>
      <c r="K408" t="str">
        <f>VLOOKUP(Table1[[#This Row],[Nome do avaliador ]],M:N,2,0)</f>
        <v>A</v>
      </c>
    </row>
    <row r="409" spans="1:11" x14ac:dyDescent="0.3">
      <c r="A409">
        <v>408</v>
      </c>
      <c r="B409" s="1">
        <v>45850.276273148098</v>
      </c>
      <c r="C409" s="1">
        <v>45850.276666666701</v>
      </c>
      <c r="D409" t="s">
        <v>19</v>
      </c>
      <c r="E409" t="s">
        <v>23</v>
      </c>
      <c r="F409" s="2">
        <v>1745</v>
      </c>
      <c r="G409" s="2" t="str">
        <f>VLOOKUP(F409,Produtos!A:B,2,FALSE)</f>
        <v>SKOL LT 269ML SH C/15 NPAL</v>
      </c>
      <c r="H409" t="s">
        <v>473</v>
      </c>
      <c r="I40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9" s="9" t="str">
        <f>VLOOKUP(Table1[[#This Row],[Área avaliada]],Endereços!A:B,2,0)</f>
        <v>Área Azul</v>
      </c>
      <c r="K409" t="str">
        <f>VLOOKUP(Table1[[#This Row],[Nome do avaliador ]],M:N,2,0)</f>
        <v>A</v>
      </c>
    </row>
    <row r="410" spans="1:11" x14ac:dyDescent="0.3">
      <c r="A410">
        <v>409</v>
      </c>
      <c r="B410" s="1">
        <v>45850.277928240699</v>
      </c>
      <c r="C410" s="1">
        <v>45850.278414351902</v>
      </c>
      <c r="D410" t="s">
        <v>19</v>
      </c>
      <c r="E410" t="s">
        <v>23</v>
      </c>
      <c r="F410" s="2">
        <v>22177</v>
      </c>
      <c r="G410" s="2" t="str">
        <f>VLOOKUP(F410,Produtos!A:B,2,FALSE)</f>
        <v>BUDWEISER ZERO LT SLEEK 350ML C8 CX CART</v>
      </c>
      <c r="H410" t="s">
        <v>473</v>
      </c>
      <c r="I41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0" s="9" t="str">
        <f>VLOOKUP(Table1[[#This Row],[Área avaliada]],Endereços!A:B,2,0)</f>
        <v>Área Azul</v>
      </c>
      <c r="K410" t="str">
        <f>VLOOKUP(Table1[[#This Row],[Nome do avaliador ]],M:N,2,0)</f>
        <v>A</v>
      </c>
    </row>
    <row r="411" spans="1:11" x14ac:dyDescent="0.3">
      <c r="A411">
        <v>410</v>
      </c>
      <c r="B411" s="1">
        <v>45850.279849537001</v>
      </c>
      <c r="C411" s="1">
        <v>45850.2804398148</v>
      </c>
      <c r="D411" t="s">
        <v>17</v>
      </c>
      <c r="E411" t="s">
        <v>23</v>
      </c>
      <c r="F411" s="2">
        <v>9096</v>
      </c>
      <c r="G411" s="2" t="str">
        <f>VLOOKUP(F411,Produtos!A:B,2,FALSE)</f>
        <v>PEPSI COLA LATA 350ML SH C/12 NPAL</v>
      </c>
      <c r="H411" t="s">
        <v>475</v>
      </c>
      <c r="I41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1" s="9" t="str">
        <f>VLOOKUP(Table1[[#This Row],[Área avaliada]],Endereços!A:B,2,0)</f>
        <v>Área Azul</v>
      </c>
      <c r="K411" t="s">
        <v>510</v>
      </c>
    </row>
    <row r="412" spans="1:11" x14ac:dyDescent="0.3">
      <c r="A412">
        <v>411</v>
      </c>
      <c r="B412" s="1">
        <v>45850.511944444399</v>
      </c>
      <c r="C412" s="1">
        <v>45850.513935185198</v>
      </c>
      <c r="D412" t="s">
        <v>7</v>
      </c>
      <c r="E412" t="s">
        <v>32</v>
      </c>
      <c r="F412" s="2">
        <v>838</v>
      </c>
      <c r="G412" s="2" t="str">
        <f>VLOOKUP(F412,Produtos!A:B,2,FALSE)</f>
        <v>CHOPP BRAHMA CLARO BARRIL KEG 50L</v>
      </c>
      <c r="H412" t="s">
        <v>488</v>
      </c>
      <c r="I41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2" s="9" t="str">
        <f>VLOOKUP(Table1[[#This Row],[Área avaliada]],Endereços!A:B,2,0)</f>
        <v>Área Vermelho</v>
      </c>
      <c r="K412" t="str">
        <f>VLOOKUP(Table1[[#This Row],[Nome do avaliador ]],M:N,2,0)</f>
        <v>A</v>
      </c>
    </row>
    <row r="413" spans="1:11" x14ac:dyDescent="0.3">
      <c r="A413">
        <v>412</v>
      </c>
      <c r="B413" s="1">
        <v>45850.898240740702</v>
      </c>
      <c r="C413" s="1">
        <v>45850.8992013889</v>
      </c>
      <c r="D413" t="s">
        <v>21</v>
      </c>
      <c r="E413" t="s">
        <v>12</v>
      </c>
      <c r="G413" t="e">
        <f>VLOOKUP(F413,Produtos!A:B,2,FALSE)</f>
        <v>#N/A</v>
      </c>
      <c r="H413" t="s">
        <v>477</v>
      </c>
      <c r="I41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3" s="9" t="str">
        <f>VLOOKUP(Table1[[#This Row],[Área avaliada]],Endereços!A:B,2,0)</f>
        <v>Área Verde</v>
      </c>
      <c r="K413" t="str">
        <f>VLOOKUP(Table1[[#This Row],[Nome do avaliador ]],M:N,2,0)</f>
        <v>B</v>
      </c>
    </row>
    <row r="414" spans="1:11" x14ac:dyDescent="0.3">
      <c r="A414">
        <v>413</v>
      </c>
      <c r="B414" s="1">
        <v>45852.343819444402</v>
      </c>
      <c r="C414" s="1">
        <v>45852.3444675926</v>
      </c>
      <c r="D414" t="s">
        <v>17</v>
      </c>
      <c r="E414" t="s">
        <v>23</v>
      </c>
      <c r="F414" s="2">
        <v>9320</v>
      </c>
      <c r="G414" s="2" t="str">
        <f>VLOOKUP(F414,Produtos!A:B,2,FALSE)</f>
        <v>BRAHMA CHOPP LT 473ML SH C/12 NPAL</v>
      </c>
      <c r="H414" t="s">
        <v>475</v>
      </c>
      <c r="I41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4" s="9" t="str">
        <f>VLOOKUP(Table1[[#This Row],[Área avaliada]],Endereços!A:B,2,0)</f>
        <v>Área Azul</v>
      </c>
      <c r="K414" t="s">
        <v>510</v>
      </c>
    </row>
    <row r="415" spans="1:11" x14ac:dyDescent="0.3">
      <c r="A415">
        <v>414</v>
      </c>
      <c r="B415" s="1">
        <v>45852.344479166699</v>
      </c>
      <c r="C415" s="1">
        <v>45852.3450578704</v>
      </c>
      <c r="D415" t="s">
        <v>17</v>
      </c>
      <c r="E415" t="s">
        <v>23</v>
      </c>
      <c r="F415" s="2">
        <v>9085</v>
      </c>
      <c r="G415" s="2" t="str">
        <f>VLOOKUP(F415,Produtos!A:B,2,FALSE)</f>
        <v>GUARANA CHP ANTARCT DIET LT350ML SHC/12</v>
      </c>
      <c r="H415" t="s">
        <v>475</v>
      </c>
      <c r="I41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5" s="9" t="str">
        <f>VLOOKUP(Table1[[#This Row],[Área avaliada]],Endereços!A:B,2,0)</f>
        <v>Área Azul</v>
      </c>
      <c r="K415" t="s">
        <v>510</v>
      </c>
    </row>
    <row r="416" spans="1:11" x14ac:dyDescent="0.3">
      <c r="A416">
        <v>415</v>
      </c>
      <c r="B416" s="1">
        <v>45852.366157407399</v>
      </c>
      <c r="C416" s="1">
        <v>45852.366631944402</v>
      </c>
      <c r="D416" t="s">
        <v>19</v>
      </c>
      <c r="E416" t="s">
        <v>20</v>
      </c>
      <c r="F416" s="2">
        <v>9081</v>
      </c>
      <c r="G416" s="2" t="str">
        <f>VLOOKUP(F416,Produtos!A:B,2,FALSE)</f>
        <v>MALZBIER BRAHMA LATA 350ML SH C/12 NPAL</v>
      </c>
      <c r="H416" t="s">
        <v>473</v>
      </c>
      <c r="I41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6" s="9" t="str">
        <f>VLOOKUP(Table1[[#This Row],[Área avaliada]],Endereços!A:B,2,0)</f>
        <v>Área Azul</v>
      </c>
      <c r="K416" t="str">
        <f>VLOOKUP(Table1[[#This Row],[Nome do avaliador ]],M:N,2,0)</f>
        <v>A</v>
      </c>
    </row>
    <row r="417" spans="1:11" x14ac:dyDescent="0.3">
      <c r="A417">
        <v>416</v>
      </c>
      <c r="B417" s="1">
        <v>45852.370289351798</v>
      </c>
      <c r="C417" s="1">
        <v>45852.370902777802</v>
      </c>
      <c r="D417" t="s">
        <v>19</v>
      </c>
      <c r="E417" t="s">
        <v>33</v>
      </c>
      <c r="F417" s="2">
        <v>6905</v>
      </c>
      <c r="G417" s="2" t="str">
        <f>VLOOKUP(F417,Produtos!A:B,2,FALSE)</f>
        <v>AGUA M F DA ILHA C/G PVC 500ML CAIXA C/1</v>
      </c>
      <c r="H417" t="s">
        <v>473</v>
      </c>
      <c r="I41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7" s="9" t="str">
        <f>VLOOKUP(Table1[[#This Row],[Área avaliada]],Endereços!A:B,2,0)</f>
        <v>Área Verde</v>
      </c>
      <c r="K417" t="str">
        <f>VLOOKUP(Table1[[#This Row],[Nome do avaliador ]],M:N,2,0)</f>
        <v>A</v>
      </c>
    </row>
    <row r="418" spans="1:11" x14ac:dyDescent="0.3">
      <c r="A418">
        <v>417</v>
      </c>
      <c r="B418" s="1">
        <v>45852.480092592603</v>
      </c>
      <c r="C418" s="1">
        <v>45852.481226851902</v>
      </c>
      <c r="D418" t="s">
        <v>17</v>
      </c>
      <c r="E418" t="s">
        <v>23</v>
      </c>
      <c r="F418" s="2">
        <v>34608</v>
      </c>
      <c r="G418" s="2" t="str">
        <f>VLOOKUP(F418,Produtos!A:B,2,FALSE)</f>
        <v>SKOL LATA 350ML SH C/12 MULTIPAK</v>
      </c>
      <c r="H418" t="s">
        <v>475</v>
      </c>
      <c r="I41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8" s="9" t="str">
        <f>VLOOKUP(Table1[[#This Row],[Área avaliada]],Endereços!A:B,2,0)</f>
        <v>Área Azul</v>
      </c>
      <c r="K418" t="s">
        <v>510</v>
      </c>
    </row>
    <row r="419" spans="1:11" x14ac:dyDescent="0.3">
      <c r="A419">
        <v>418</v>
      </c>
      <c r="B419" s="1">
        <v>45852.824988425898</v>
      </c>
      <c r="C419" s="1">
        <v>45852.826087963003</v>
      </c>
      <c r="D419" t="s">
        <v>21</v>
      </c>
      <c r="E419" t="s">
        <v>15</v>
      </c>
      <c r="F419" s="2">
        <v>9083</v>
      </c>
      <c r="G419" s="2" t="str">
        <f>VLOOKUP(F419,Produtos!A:B,2,FALSE)</f>
        <v>SKOL LT 473ML SH C/12 NPAL</v>
      </c>
      <c r="H419" t="s">
        <v>477</v>
      </c>
      <c r="I41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9" s="9" t="str">
        <f>VLOOKUP(Table1[[#This Row],[Área avaliada]],Endereços!A:B,2,0)</f>
        <v>Picking Alto Giro</v>
      </c>
      <c r="K419" t="str">
        <f>VLOOKUP(Table1[[#This Row],[Nome do avaliador ]],M:N,2,0)</f>
        <v>B</v>
      </c>
    </row>
    <row r="420" spans="1:11" x14ac:dyDescent="0.3">
      <c r="A420">
        <v>419</v>
      </c>
      <c r="B420" s="1">
        <v>45854.364965277797</v>
      </c>
      <c r="C420" s="1">
        <v>45854.365590277797</v>
      </c>
      <c r="D420" t="s">
        <v>19</v>
      </c>
      <c r="E420" t="s">
        <v>20</v>
      </c>
      <c r="F420" s="2">
        <v>9067</v>
      </c>
      <c r="G420" s="2" t="str">
        <f>VLOOKUP(F420,Produtos!A:B,2,FALSE)</f>
        <v>ANTARCTICA PILSEN LATA 350ML SH C/12 NPA</v>
      </c>
      <c r="H420" t="s">
        <v>474</v>
      </c>
      <c r="I42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0" s="9" t="str">
        <f>VLOOKUP(Table1[[#This Row],[Área avaliada]],Endereços!A:B,2,0)</f>
        <v>Área Azul</v>
      </c>
      <c r="K420" t="str">
        <f>VLOOKUP(Table1[[#This Row],[Nome do avaliador ]],M:N,2,0)</f>
        <v>A</v>
      </c>
    </row>
    <row r="421" spans="1:11" x14ac:dyDescent="0.3">
      <c r="A421">
        <v>420</v>
      </c>
      <c r="B421" s="1">
        <v>45854.367569444403</v>
      </c>
      <c r="C421" s="1">
        <v>45854.368078703701</v>
      </c>
      <c r="D421" t="s">
        <v>19</v>
      </c>
      <c r="E421" t="s">
        <v>25</v>
      </c>
      <c r="F421" s="2">
        <v>9084</v>
      </c>
      <c r="G421" s="2" t="str">
        <f>VLOOKUP(F421,Produtos!A:B,2,FALSE)</f>
        <v>GUARANA CHP ANTARCT LT350ML SH C/12 NPAL</v>
      </c>
      <c r="H421" t="s">
        <v>475</v>
      </c>
      <c r="I42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1" s="9" t="str">
        <f>VLOOKUP(Table1[[#This Row],[Área avaliada]],Endereços!A:B,2,0)</f>
        <v>Área Azul</v>
      </c>
      <c r="K421" t="str">
        <f>VLOOKUP(Table1[[#This Row],[Nome do avaliador ]],M:N,2,0)</f>
        <v>A</v>
      </c>
    </row>
    <row r="422" spans="1:11" x14ac:dyDescent="0.3">
      <c r="A422">
        <v>421</v>
      </c>
      <c r="B422" s="1">
        <v>45854.369513888902</v>
      </c>
      <c r="C422" s="1">
        <v>45854.370011574101</v>
      </c>
      <c r="D422" t="s">
        <v>19</v>
      </c>
      <c r="E422" t="s">
        <v>23</v>
      </c>
      <c r="F422" s="2">
        <v>20498</v>
      </c>
      <c r="G422" s="2" t="str">
        <f>VLOOKUP(F422,Produtos!A:B,2,FALSE)</f>
        <v>BRAHMA DUPLO MALTE LT SLEEK 350ML SH C12</v>
      </c>
      <c r="H422" t="s">
        <v>473</v>
      </c>
      <c r="I42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2" s="9" t="str">
        <f>VLOOKUP(Table1[[#This Row],[Área avaliada]],Endereços!A:B,2,0)</f>
        <v>Área Azul</v>
      </c>
      <c r="K422" t="str">
        <f>VLOOKUP(Table1[[#This Row],[Nome do avaliador ]],M:N,2,0)</f>
        <v>A</v>
      </c>
    </row>
    <row r="423" spans="1:11" x14ac:dyDescent="0.3">
      <c r="A423">
        <v>422</v>
      </c>
      <c r="B423" s="1">
        <v>45854.371562499997</v>
      </c>
      <c r="C423" s="1">
        <v>45854.372175925899</v>
      </c>
      <c r="D423" t="s">
        <v>19</v>
      </c>
      <c r="E423" t="s">
        <v>23</v>
      </c>
      <c r="F423" s="2">
        <v>28216</v>
      </c>
      <c r="G423" s="2" t="str">
        <f>VLOOKUP(F423,Produtos!A:B,2,FALSE)</f>
        <v>MINALBA AGUA M C GAS LATA 310ML FD12</v>
      </c>
      <c r="H423" t="s">
        <v>473</v>
      </c>
      <c r="I42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3" s="9" t="str">
        <f>VLOOKUP(Table1[[#This Row],[Área avaliada]],Endereços!A:B,2,0)</f>
        <v>Área Azul</v>
      </c>
      <c r="K423" t="str">
        <f>VLOOKUP(Table1[[#This Row],[Nome do avaliador ]],M:N,2,0)</f>
        <v>A</v>
      </c>
    </row>
    <row r="424" spans="1:11" x14ac:dyDescent="0.3">
      <c r="A424">
        <v>423</v>
      </c>
      <c r="B424" s="1">
        <v>45854.373761574097</v>
      </c>
      <c r="C424" s="1">
        <v>45854.374479166698</v>
      </c>
      <c r="D424" t="s">
        <v>19</v>
      </c>
      <c r="E424" t="s">
        <v>23</v>
      </c>
      <c r="F424" s="2">
        <v>2350</v>
      </c>
      <c r="G424" s="2" t="str">
        <f>VLOOKUP(F424,Produtos!A:B,2,FALSE)</f>
        <v>SODA LIMONADA ANTARCTICA PET 2L CX C/6</v>
      </c>
      <c r="H424" t="s">
        <v>474</v>
      </c>
      <c r="I42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4" s="9" t="str">
        <f>VLOOKUP(Table1[[#This Row],[Área avaliada]],Endereços!A:B,2,0)</f>
        <v>Área Azul</v>
      </c>
      <c r="K424" t="str">
        <f>VLOOKUP(Table1[[#This Row],[Nome do avaliador ]],M:N,2,0)</f>
        <v>A</v>
      </c>
    </row>
    <row r="425" spans="1:11" x14ac:dyDescent="0.3">
      <c r="A425">
        <v>424</v>
      </c>
      <c r="B425" s="1">
        <v>45854.374745370398</v>
      </c>
      <c r="C425" s="1">
        <v>45854.375324074099</v>
      </c>
      <c r="D425" t="s">
        <v>17</v>
      </c>
      <c r="E425" t="s">
        <v>23</v>
      </c>
      <c r="F425" s="2">
        <v>9093</v>
      </c>
      <c r="G425" s="2" t="str">
        <f>VLOOKUP(F425,Produtos!A:B,2,FALSE)</f>
        <v>PEPSI TWIST LATA 350ML SH C/12 NPAL</v>
      </c>
      <c r="H425" t="s">
        <v>475</v>
      </c>
      <c r="I42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5" s="9" t="str">
        <f>VLOOKUP(Table1[[#This Row],[Área avaliada]],Endereços!A:B,2,0)</f>
        <v>Área Azul</v>
      </c>
      <c r="K425" t="s">
        <v>510</v>
      </c>
    </row>
    <row r="426" spans="1:11" x14ac:dyDescent="0.3">
      <c r="A426">
        <v>425</v>
      </c>
      <c r="B426" s="1">
        <v>45854.378912036998</v>
      </c>
      <c r="C426" s="1">
        <v>45854.379606481503</v>
      </c>
      <c r="D426" t="s">
        <v>17</v>
      </c>
      <c r="E426" t="s">
        <v>20</v>
      </c>
      <c r="F426" s="2">
        <v>9081</v>
      </c>
      <c r="G426" s="2" t="str">
        <f>VLOOKUP(F426,Produtos!A:B,2,FALSE)</f>
        <v>MALZBIER BRAHMA LATA 350ML SH C/12 NPAL</v>
      </c>
      <c r="H426" t="s">
        <v>475</v>
      </c>
      <c r="I42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6" s="9" t="str">
        <f>VLOOKUP(Table1[[#This Row],[Área avaliada]],Endereços!A:B,2,0)</f>
        <v>Área Azul</v>
      </c>
      <c r="K426" t="s">
        <v>510</v>
      </c>
    </row>
    <row r="427" spans="1:11" x14ac:dyDescent="0.3">
      <c r="A427">
        <v>426</v>
      </c>
      <c r="B427" s="1">
        <v>45854.380266203698</v>
      </c>
      <c r="C427" s="1">
        <v>45854.381793981498</v>
      </c>
      <c r="D427" t="s">
        <v>17</v>
      </c>
      <c r="E427" t="s">
        <v>25</v>
      </c>
      <c r="F427" s="2">
        <v>17797</v>
      </c>
      <c r="G427" s="2" t="str">
        <f>VLOOKUP(F427,Produtos!A:B,2,FALSE)</f>
        <v>BRAHMA CHOPP LATA 350ML SH 18 MULTIPACK</v>
      </c>
      <c r="H427" t="s">
        <v>475</v>
      </c>
      <c r="I42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7" s="9" t="str">
        <f>VLOOKUP(Table1[[#This Row],[Área avaliada]],Endereços!A:B,2,0)</f>
        <v>Área Azul</v>
      </c>
      <c r="K427" t="s">
        <v>510</v>
      </c>
    </row>
    <row r="428" spans="1:11" x14ac:dyDescent="0.3">
      <c r="A428">
        <v>427</v>
      </c>
      <c r="B428" s="1">
        <v>45854.558495370402</v>
      </c>
      <c r="C428" s="1">
        <v>45854.559814814798</v>
      </c>
      <c r="D428" t="s">
        <v>7</v>
      </c>
      <c r="E428" t="s">
        <v>14</v>
      </c>
      <c r="G428" t="e">
        <f>VLOOKUP(F428,Produtos!A:B,2,FALSE)</f>
        <v>#N/A</v>
      </c>
      <c r="H428" t="s">
        <v>477</v>
      </c>
      <c r="I42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8" s="9" t="str">
        <f>VLOOKUP(Table1[[#This Row],[Área avaliada]],Endereços!A:B,2,0)</f>
        <v>Picking Baixo Giro</v>
      </c>
      <c r="K428" t="str">
        <f>VLOOKUP(Table1[[#This Row],[Nome do avaliador ]],M:N,2,0)</f>
        <v>A</v>
      </c>
    </row>
    <row r="429" spans="1:11" x14ac:dyDescent="0.3">
      <c r="A429">
        <v>428</v>
      </c>
      <c r="B429" s="1">
        <v>45855.327025462997</v>
      </c>
      <c r="C429" s="1">
        <v>45855.327800925901</v>
      </c>
      <c r="D429" t="s">
        <v>19</v>
      </c>
      <c r="E429" t="s">
        <v>23</v>
      </c>
      <c r="F429" s="2">
        <v>20603</v>
      </c>
      <c r="G429" s="2" t="str">
        <f>VLOOKUP(F429,Produtos!A:B,2,FALSE)</f>
        <v>ORIGINAL LT 269ML CX CARTAO C/8 NPAL</v>
      </c>
      <c r="H429" t="s">
        <v>473</v>
      </c>
      <c r="I42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9" s="9" t="str">
        <f>VLOOKUP(Table1[[#This Row],[Área avaliada]],Endereços!A:B,2,0)</f>
        <v>Área Azul</v>
      </c>
      <c r="K429" t="str">
        <f>VLOOKUP(Table1[[#This Row],[Nome do avaliador ]],M:N,2,0)</f>
        <v>A</v>
      </c>
    </row>
    <row r="430" spans="1:11" x14ac:dyDescent="0.3">
      <c r="A430">
        <v>429</v>
      </c>
      <c r="B430" s="1">
        <v>45855.328634259298</v>
      </c>
      <c r="C430" s="1">
        <v>45855.329178240703</v>
      </c>
      <c r="D430" t="s">
        <v>19</v>
      </c>
      <c r="E430" t="s">
        <v>23</v>
      </c>
      <c r="F430" s="2">
        <v>20651</v>
      </c>
      <c r="G430" s="2" t="str">
        <f>VLOOKUP(F430,Produtos!A:B,2,FALSE)</f>
        <v>CORONA N LT SLEEK 350ML CX 8</v>
      </c>
      <c r="H430" t="s">
        <v>473</v>
      </c>
      <c r="I43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0" s="9" t="str">
        <f>VLOOKUP(Table1[[#This Row],[Área avaliada]],Endereços!A:B,2,0)</f>
        <v>Área Azul</v>
      </c>
      <c r="K430" t="str">
        <f>VLOOKUP(Table1[[#This Row],[Nome do avaliador ]],M:N,2,0)</f>
        <v>A</v>
      </c>
    </row>
    <row r="431" spans="1:11" x14ac:dyDescent="0.3">
      <c r="A431">
        <v>430</v>
      </c>
      <c r="B431" s="1">
        <v>45855.329918981501</v>
      </c>
      <c r="C431" s="1">
        <v>45855.330520833297</v>
      </c>
      <c r="D431" t="s">
        <v>19</v>
      </c>
      <c r="E431" t="s">
        <v>23</v>
      </c>
      <c r="F431" s="2">
        <v>9069</v>
      </c>
      <c r="G431" s="2" t="str">
        <f>VLOOKUP(F431,Produtos!A:B,2,FALSE)</f>
        <v>BRAHMA CHOPP LATA 350ML SH C/12 NPAL</v>
      </c>
      <c r="H431" t="s">
        <v>473</v>
      </c>
      <c r="I43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1" s="9" t="str">
        <f>VLOOKUP(Table1[[#This Row],[Área avaliada]],Endereços!A:B,2,0)</f>
        <v>Área Azul</v>
      </c>
      <c r="K431" t="str">
        <f>VLOOKUP(Table1[[#This Row],[Nome do avaliador ]],M:N,2,0)</f>
        <v>A</v>
      </c>
    </row>
    <row r="432" spans="1:11" x14ac:dyDescent="0.3">
      <c r="A432">
        <v>431</v>
      </c>
      <c r="B432" s="1">
        <v>45855.331863425898</v>
      </c>
      <c r="C432" s="1">
        <v>45855.332384259302</v>
      </c>
      <c r="D432" t="s">
        <v>19</v>
      </c>
      <c r="E432" t="s">
        <v>23</v>
      </c>
      <c r="F432" s="2">
        <v>9083</v>
      </c>
      <c r="G432" s="2" t="str">
        <f>VLOOKUP(F432,Produtos!A:B,2,FALSE)</f>
        <v>SKOL LT 473ML SH C/12 NPAL</v>
      </c>
      <c r="H432" t="s">
        <v>473</v>
      </c>
      <c r="I43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2" s="9" t="str">
        <f>VLOOKUP(Table1[[#This Row],[Área avaliada]],Endereços!A:B,2,0)</f>
        <v>Área Azul</v>
      </c>
      <c r="K432" t="str">
        <f>VLOOKUP(Table1[[#This Row],[Nome do avaliador ]],M:N,2,0)</f>
        <v>A</v>
      </c>
    </row>
    <row r="433" spans="1:11" x14ac:dyDescent="0.3">
      <c r="A433">
        <v>432</v>
      </c>
      <c r="B433" s="1">
        <v>45855.333310185197</v>
      </c>
      <c r="C433" s="1">
        <v>45855.3346296296</v>
      </c>
      <c r="D433" t="s">
        <v>17</v>
      </c>
      <c r="E433" t="s">
        <v>23</v>
      </c>
      <c r="F433" s="2">
        <v>12951</v>
      </c>
      <c r="G433" s="2" t="str">
        <f>VLOOKUP(F433,Produtos!A:B,2,FALSE)</f>
        <v>BRAHMA CHOPP ZERO LN 355 SIXP CX CART C4</v>
      </c>
      <c r="H433" t="s">
        <v>475</v>
      </c>
      <c r="I43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3" s="9" t="str">
        <f>VLOOKUP(Table1[[#This Row],[Área avaliada]],Endereços!A:B,2,0)</f>
        <v>Área Azul</v>
      </c>
      <c r="K433" t="s">
        <v>510</v>
      </c>
    </row>
    <row r="434" spans="1:11" x14ac:dyDescent="0.3">
      <c r="A434">
        <v>433</v>
      </c>
      <c r="B434" s="1">
        <v>45855.453564814801</v>
      </c>
      <c r="C434" s="1">
        <v>45855.454155092601</v>
      </c>
      <c r="D434" t="s">
        <v>17</v>
      </c>
      <c r="E434" t="s">
        <v>23</v>
      </c>
      <c r="F434" s="2">
        <v>17808</v>
      </c>
      <c r="G434" s="2" t="str">
        <f>VLOOKUP(F434,Produtos!A:B,2,FALSE)</f>
        <v>BUDWEISER OW 330ML CX C 24</v>
      </c>
      <c r="H434" t="s">
        <v>475</v>
      </c>
      <c r="I43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4" s="9" t="str">
        <f>VLOOKUP(Table1[[#This Row],[Área avaliada]],Endereços!A:B,2,0)</f>
        <v>Área Azul</v>
      </c>
      <c r="K434" t="s">
        <v>510</v>
      </c>
    </row>
    <row r="435" spans="1:11" x14ac:dyDescent="0.3">
      <c r="A435">
        <v>434</v>
      </c>
      <c r="B435" s="1">
        <v>45856.703506944403</v>
      </c>
      <c r="C435" s="1">
        <v>45856.704131944403</v>
      </c>
      <c r="D435" t="s">
        <v>21</v>
      </c>
      <c r="E435" t="s">
        <v>15</v>
      </c>
      <c r="G435" t="e">
        <f>VLOOKUP(F435,Produtos!A:B,2,FALSE)</f>
        <v>#N/A</v>
      </c>
      <c r="H435" t="s">
        <v>477</v>
      </c>
      <c r="I43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5" s="9" t="str">
        <f>VLOOKUP(Table1[[#This Row],[Área avaliada]],Endereços!A:B,2,0)</f>
        <v>Picking Alto Giro</v>
      </c>
      <c r="K435" t="str">
        <f>VLOOKUP(Table1[[#This Row],[Nome do avaliador ]],M:N,2,0)</f>
        <v>B</v>
      </c>
    </row>
    <row r="436" spans="1:11" x14ac:dyDescent="0.3">
      <c r="A436">
        <v>435</v>
      </c>
      <c r="B436" s="1">
        <v>45857.298240740703</v>
      </c>
      <c r="C436" s="1">
        <v>45857.298819444397</v>
      </c>
      <c r="D436" t="s">
        <v>17</v>
      </c>
      <c r="E436" t="s">
        <v>23</v>
      </c>
      <c r="F436" s="2">
        <v>9093</v>
      </c>
      <c r="G436" s="2" t="str">
        <f>VLOOKUP(F436,Produtos!A:B,2,FALSE)</f>
        <v>PEPSI TWIST LATA 350ML SH C/12 NPAL</v>
      </c>
      <c r="H436" t="s">
        <v>475</v>
      </c>
      <c r="I43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6" s="9" t="str">
        <f>VLOOKUP(Table1[[#This Row],[Área avaliada]],Endereços!A:B,2,0)</f>
        <v>Área Azul</v>
      </c>
      <c r="K436" t="s">
        <v>510</v>
      </c>
    </row>
    <row r="437" spans="1:11" x14ac:dyDescent="0.3">
      <c r="A437">
        <v>436</v>
      </c>
      <c r="B437" s="1">
        <v>45859.332546296297</v>
      </c>
      <c r="C437" s="1">
        <v>45859.333136574103</v>
      </c>
      <c r="D437" t="s">
        <v>19</v>
      </c>
      <c r="E437" t="s">
        <v>23</v>
      </c>
      <c r="F437" s="2">
        <v>9067</v>
      </c>
      <c r="G437" s="2" t="str">
        <f>VLOOKUP(F437,Produtos!A:B,2,FALSE)</f>
        <v>ANTARCTICA PILSEN LATA 350ML SH C/12 NPA</v>
      </c>
      <c r="H437" t="s">
        <v>473</v>
      </c>
      <c r="I43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7" s="9" t="str">
        <f>VLOOKUP(Table1[[#This Row],[Área avaliada]],Endereços!A:B,2,0)</f>
        <v>Área Azul</v>
      </c>
      <c r="K437" t="str">
        <f>VLOOKUP(Table1[[#This Row],[Nome do avaliador ]],M:N,2,0)</f>
        <v>A</v>
      </c>
    </row>
    <row r="438" spans="1:11" x14ac:dyDescent="0.3">
      <c r="A438">
        <v>437</v>
      </c>
      <c r="B438" s="1">
        <v>45859.332708333299</v>
      </c>
      <c r="C438" s="1">
        <v>45859.333252314798</v>
      </c>
      <c r="D438" t="s">
        <v>17</v>
      </c>
      <c r="E438" t="s">
        <v>23</v>
      </c>
      <c r="F438" s="2">
        <v>19227</v>
      </c>
      <c r="G438" s="2" t="str">
        <f>VLOOKUP(F438,Produtos!A:B,2,FALSE)</f>
        <v>RED BULL BR LATA 355ML FOUR PACK</v>
      </c>
      <c r="H438" t="s">
        <v>475</v>
      </c>
      <c r="I43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8" s="9" t="str">
        <f>VLOOKUP(Table1[[#This Row],[Área avaliada]],Endereços!A:B,2,0)</f>
        <v>Área Azul</v>
      </c>
      <c r="K438" t="s">
        <v>510</v>
      </c>
    </row>
    <row r="439" spans="1:11" x14ac:dyDescent="0.3">
      <c r="A439">
        <v>438</v>
      </c>
      <c r="B439" s="1">
        <v>45859.3342708333</v>
      </c>
      <c r="C439" s="1">
        <v>45859.334872685198</v>
      </c>
      <c r="D439" t="s">
        <v>19</v>
      </c>
      <c r="E439" t="s">
        <v>23</v>
      </c>
      <c r="F439" s="2">
        <v>20564</v>
      </c>
      <c r="G439" s="2" t="e">
        <f>VLOOKUP(F439,Produtos!A:B,2,FALSE)</f>
        <v>#N/A</v>
      </c>
      <c r="H439" t="s">
        <v>473</v>
      </c>
      <c r="I43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9" s="9" t="str">
        <f>VLOOKUP(Table1[[#This Row],[Área avaliada]],Endereços!A:B,2,0)</f>
        <v>Área Azul</v>
      </c>
      <c r="K439" t="str">
        <f>VLOOKUP(Table1[[#This Row],[Nome do avaliador ]],M:N,2,0)</f>
        <v>A</v>
      </c>
    </row>
    <row r="440" spans="1:11" x14ac:dyDescent="0.3">
      <c r="A440">
        <v>439</v>
      </c>
      <c r="B440" s="1">
        <v>45859.3344560185</v>
      </c>
      <c r="C440" s="1">
        <v>45859.334976851896</v>
      </c>
      <c r="D440" t="s">
        <v>17</v>
      </c>
      <c r="E440" t="s">
        <v>23</v>
      </c>
      <c r="F440" s="2">
        <v>21658</v>
      </c>
      <c r="G440" s="2" t="str">
        <f>VLOOKUP(F440,Produtos!A:B,2,FALSE)</f>
        <v>SPATEN N LT SLEEK 350ML CX CART C12</v>
      </c>
      <c r="H440" t="s">
        <v>475</v>
      </c>
      <c r="I44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0" s="9" t="str">
        <f>VLOOKUP(Table1[[#This Row],[Área avaliada]],Endereços!A:B,2,0)</f>
        <v>Área Azul</v>
      </c>
      <c r="K440" t="s">
        <v>510</v>
      </c>
    </row>
    <row r="441" spans="1:11" x14ac:dyDescent="0.3">
      <c r="A441">
        <v>440</v>
      </c>
      <c r="B441" s="1">
        <v>45859.3371990741</v>
      </c>
      <c r="C441" s="1">
        <v>45859.3378240741</v>
      </c>
      <c r="D441" t="s">
        <v>19</v>
      </c>
      <c r="E441" t="s">
        <v>23</v>
      </c>
      <c r="F441" s="2">
        <v>9096</v>
      </c>
      <c r="G441" s="2" t="str">
        <f>VLOOKUP(F441,Produtos!A:B,2,FALSE)</f>
        <v>PEPSI COLA LATA 350ML SH C/12 NPAL</v>
      </c>
      <c r="H441" t="s">
        <v>473</v>
      </c>
      <c r="I44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1" s="9" t="str">
        <f>VLOOKUP(Table1[[#This Row],[Área avaliada]],Endereços!A:B,2,0)</f>
        <v>Área Azul</v>
      </c>
      <c r="K441" t="str">
        <f>VLOOKUP(Table1[[#This Row],[Nome do avaliador ]],M:N,2,0)</f>
        <v>A</v>
      </c>
    </row>
    <row r="442" spans="1:11" x14ac:dyDescent="0.3">
      <c r="A442">
        <v>441</v>
      </c>
      <c r="B442" s="1">
        <v>45859.460601851897</v>
      </c>
      <c r="C442" s="1">
        <v>45859.4612037037</v>
      </c>
      <c r="D442" t="s">
        <v>17</v>
      </c>
      <c r="E442" t="s">
        <v>23</v>
      </c>
      <c r="F442" s="2">
        <v>18807</v>
      </c>
      <c r="G442" s="2" t="str">
        <f>VLOOKUP(F442,Produtos!A:B,2,FALSE)</f>
        <v>STELLA ARTOIS LN 330ML 6PACK SHR C 4</v>
      </c>
      <c r="H442" t="s">
        <v>475</v>
      </c>
      <c r="I44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2" s="9" t="str">
        <f>VLOOKUP(Table1[[#This Row],[Área avaliada]],Endereços!A:B,2,0)</f>
        <v>Área Azul</v>
      </c>
      <c r="K442" t="s">
        <v>510</v>
      </c>
    </row>
    <row r="443" spans="1:11" x14ac:dyDescent="0.3">
      <c r="A443">
        <v>442</v>
      </c>
      <c r="B443" s="1">
        <v>45859.461226851803</v>
      </c>
      <c r="C443" s="1">
        <v>45859.461770833303</v>
      </c>
      <c r="D443" t="s">
        <v>17</v>
      </c>
      <c r="E443" t="s">
        <v>23</v>
      </c>
      <c r="F443" s="2">
        <v>9087</v>
      </c>
      <c r="G443" s="2" t="str">
        <f>VLOOKUP(F443,Produtos!A:B,2,FALSE)</f>
        <v>SODA LIMONADA ANTAR LT350ML SH C/12 NPAL</v>
      </c>
      <c r="H443" t="s">
        <v>475</v>
      </c>
      <c r="I44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3" s="9" t="str">
        <f>VLOOKUP(Table1[[#This Row],[Área avaliada]],Endereços!A:B,2,0)</f>
        <v>Área Azul</v>
      </c>
      <c r="K443" t="s">
        <v>510</v>
      </c>
    </row>
    <row r="444" spans="1:11" x14ac:dyDescent="0.3">
      <c r="A444">
        <v>443</v>
      </c>
      <c r="B444" s="1">
        <v>45859.4617939815</v>
      </c>
      <c r="C444" s="1">
        <v>45859.462453703702</v>
      </c>
      <c r="D444" t="s">
        <v>17</v>
      </c>
      <c r="E444" t="s">
        <v>23</v>
      </c>
      <c r="F444" s="2">
        <v>9069</v>
      </c>
      <c r="G444" s="2" t="str">
        <f>VLOOKUP(F444,Produtos!A:B,2,FALSE)</f>
        <v>BRAHMA CHOPP LATA 350ML SH C/12 NPAL</v>
      </c>
      <c r="H444" t="s">
        <v>475</v>
      </c>
      <c r="I44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4" s="9" t="str">
        <f>VLOOKUP(Table1[[#This Row],[Área avaliada]],Endereços!A:B,2,0)</f>
        <v>Área Azul</v>
      </c>
      <c r="K444" t="s">
        <v>510</v>
      </c>
    </row>
    <row r="445" spans="1:11" x14ac:dyDescent="0.3">
      <c r="A445">
        <v>444</v>
      </c>
      <c r="B445" s="1">
        <v>45859.8851967593</v>
      </c>
      <c r="C445" s="1">
        <v>45859.886018518497</v>
      </c>
      <c r="D445" t="s">
        <v>21</v>
      </c>
      <c r="E445" t="s">
        <v>32</v>
      </c>
      <c r="F445" s="2">
        <v>838</v>
      </c>
      <c r="G445" s="2" t="str">
        <f>VLOOKUP(F445,Produtos!A:B,2,FALSE)</f>
        <v>CHOPP BRAHMA CLARO BARRIL KEG 50L</v>
      </c>
      <c r="H445" t="s">
        <v>477</v>
      </c>
      <c r="I44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5" s="9" t="str">
        <f>VLOOKUP(Table1[[#This Row],[Área avaliada]],Endereços!A:B,2,0)</f>
        <v>Área Vermelho</v>
      </c>
      <c r="K445" t="str">
        <f>VLOOKUP(Table1[[#This Row],[Nome do avaliador ]],M:N,2,0)</f>
        <v>B</v>
      </c>
    </row>
    <row r="446" spans="1:11" x14ac:dyDescent="0.3">
      <c r="A446">
        <v>445</v>
      </c>
      <c r="B446" s="1">
        <v>45860.339930555601</v>
      </c>
      <c r="C446" s="1">
        <v>45860.3406481481</v>
      </c>
      <c r="D446" t="s">
        <v>17</v>
      </c>
      <c r="E446" t="s">
        <v>23</v>
      </c>
      <c r="F446" s="2">
        <v>21658</v>
      </c>
      <c r="G446" s="2" t="str">
        <f>VLOOKUP(F446,Produtos!A:B,2,FALSE)</f>
        <v>SPATEN N LT SLEEK 350ML CX CART C12</v>
      </c>
      <c r="H446" t="s">
        <v>475</v>
      </c>
      <c r="I44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6" s="9" t="str">
        <f>VLOOKUP(Table1[[#This Row],[Área avaliada]],Endereços!A:B,2,0)</f>
        <v>Área Azul</v>
      </c>
      <c r="K446" t="s">
        <v>510</v>
      </c>
    </row>
    <row r="447" spans="1:11" x14ac:dyDescent="0.3">
      <c r="A447">
        <v>446</v>
      </c>
      <c r="B447" s="1">
        <v>45860.414571759298</v>
      </c>
      <c r="C447" s="1">
        <v>45860.4152314815</v>
      </c>
      <c r="D447" t="s">
        <v>19</v>
      </c>
      <c r="E447" t="s">
        <v>23</v>
      </c>
      <c r="F447" s="2">
        <v>34608</v>
      </c>
      <c r="G447" s="2" t="str">
        <f>VLOOKUP(F447,Produtos!A:B,2,FALSE)</f>
        <v>SKOL LATA 350ML SH C/12 MULTIPAK</v>
      </c>
      <c r="H447" t="s">
        <v>473</v>
      </c>
      <c r="I44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7" s="9" t="str">
        <f>VLOOKUP(Table1[[#This Row],[Área avaliada]],Endereços!A:B,2,0)</f>
        <v>Área Azul</v>
      </c>
      <c r="K447" t="str">
        <f>VLOOKUP(Table1[[#This Row],[Nome do avaliador ]],M:N,2,0)</f>
        <v>A</v>
      </c>
    </row>
    <row r="448" spans="1:11" x14ac:dyDescent="0.3">
      <c r="A448">
        <v>447</v>
      </c>
      <c r="B448" s="1">
        <v>45861.437777777799</v>
      </c>
      <c r="C448" s="1">
        <v>45861.442627314798</v>
      </c>
      <c r="D448" t="s">
        <v>17</v>
      </c>
      <c r="E448" t="s">
        <v>23</v>
      </c>
      <c r="F448" s="2">
        <v>9071</v>
      </c>
      <c r="G448" s="2" t="str">
        <f>VLOOKUP(F448,Produtos!A:B,2,FALSE)</f>
        <v>CARACU LATA 350ML SH C/12 NPAL</v>
      </c>
      <c r="H448" t="s">
        <v>475</v>
      </c>
      <c r="I44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8" s="9" t="str">
        <f>VLOOKUP(Table1[[#This Row],[Área avaliada]],Endereços!A:B,2,0)</f>
        <v>Área Azul</v>
      </c>
      <c r="K448" t="s">
        <v>510</v>
      </c>
    </row>
    <row r="449" spans="1:11" x14ac:dyDescent="0.3">
      <c r="A449">
        <v>448</v>
      </c>
      <c r="B449" s="1">
        <v>45861.442650463003</v>
      </c>
      <c r="C449" s="1">
        <v>45861.443113425899</v>
      </c>
      <c r="D449" t="s">
        <v>17</v>
      </c>
      <c r="E449" t="s">
        <v>25</v>
      </c>
      <c r="F449" s="2">
        <v>17797</v>
      </c>
      <c r="G449" s="2" t="str">
        <f>VLOOKUP(F449,Produtos!A:B,2,FALSE)</f>
        <v>BRAHMA CHOPP LATA 350ML SH 18 MULTIPACK</v>
      </c>
      <c r="H449" t="s">
        <v>475</v>
      </c>
      <c r="I44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9" s="9" t="str">
        <f>VLOOKUP(Table1[[#This Row],[Área avaliada]],Endereços!A:B,2,0)</f>
        <v>Área Azul</v>
      </c>
      <c r="K449" t="s">
        <v>510</v>
      </c>
    </row>
    <row r="450" spans="1:11" x14ac:dyDescent="0.3">
      <c r="A450">
        <v>449</v>
      </c>
      <c r="B450" s="1">
        <v>45861.471145833297</v>
      </c>
      <c r="C450" s="1">
        <v>45861.471886574102</v>
      </c>
      <c r="D450" t="s">
        <v>19</v>
      </c>
      <c r="E450" t="s">
        <v>20</v>
      </c>
      <c r="F450" s="2">
        <v>9069</v>
      </c>
      <c r="G450" s="2" t="str">
        <f>VLOOKUP(F450,Produtos!A:B,2,FALSE)</f>
        <v>BRAHMA CHOPP LATA 350ML SH C/12 NPAL</v>
      </c>
      <c r="H450" t="s">
        <v>473</v>
      </c>
      <c r="I45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0" s="9" t="str">
        <f>VLOOKUP(Table1[[#This Row],[Área avaliada]],Endereços!A:B,2,0)</f>
        <v>Área Azul</v>
      </c>
      <c r="K450" t="str">
        <f>VLOOKUP(Table1[[#This Row],[Nome do avaliador ]],M:N,2,0)</f>
        <v>A</v>
      </c>
    </row>
    <row r="451" spans="1:11" x14ac:dyDescent="0.3">
      <c r="A451">
        <v>450</v>
      </c>
      <c r="B451" s="1">
        <v>45861.515231481499</v>
      </c>
      <c r="C451" s="1">
        <v>45861.516145833302</v>
      </c>
      <c r="D451" t="s">
        <v>19</v>
      </c>
      <c r="E451" t="s">
        <v>23</v>
      </c>
      <c r="F451" s="2">
        <v>9096</v>
      </c>
      <c r="G451" s="2" t="str">
        <f>VLOOKUP(F451,Produtos!A:B,2,FALSE)</f>
        <v>PEPSI COLA LATA 350ML SH C/12 NPAL</v>
      </c>
      <c r="H451" t="s">
        <v>481</v>
      </c>
      <c r="I45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1" s="9" t="str">
        <f>VLOOKUP(Table1[[#This Row],[Área avaliada]],Endereços!A:B,2,0)</f>
        <v>Área Azul</v>
      </c>
      <c r="K451" t="str">
        <f>VLOOKUP(Table1[[#This Row],[Nome do avaliador ]],M:N,2,0)</f>
        <v>A</v>
      </c>
    </row>
    <row r="452" spans="1:11" x14ac:dyDescent="0.3">
      <c r="A452">
        <v>451</v>
      </c>
      <c r="B452" s="1">
        <v>45861.516990740703</v>
      </c>
      <c r="C452" s="1">
        <v>45861.517592592601</v>
      </c>
      <c r="D452" t="s">
        <v>19</v>
      </c>
      <c r="E452" t="s">
        <v>25</v>
      </c>
      <c r="F452" s="2">
        <v>17797</v>
      </c>
      <c r="G452" s="2" t="str">
        <f>VLOOKUP(F452,Produtos!A:B,2,FALSE)</f>
        <v>BRAHMA CHOPP LATA 350ML SH 18 MULTIPACK</v>
      </c>
      <c r="H452" t="s">
        <v>473</v>
      </c>
      <c r="I45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2" s="9" t="str">
        <f>VLOOKUP(Table1[[#This Row],[Área avaliada]],Endereços!A:B,2,0)</f>
        <v>Área Azul</v>
      </c>
      <c r="K452" t="str">
        <f>VLOOKUP(Table1[[#This Row],[Nome do avaliador ]],M:N,2,0)</f>
        <v>A</v>
      </c>
    </row>
    <row r="453" spans="1:11" x14ac:dyDescent="0.3">
      <c r="A453">
        <v>452</v>
      </c>
      <c r="B453" s="1">
        <v>45861.5186805556</v>
      </c>
      <c r="C453" s="1">
        <v>45861.519178240698</v>
      </c>
      <c r="D453" t="s">
        <v>19</v>
      </c>
      <c r="E453" t="s">
        <v>25</v>
      </c>
      <c r="F453" s="2">
        <v>9084</v>
      </c>
      <c r="G453" s="2" t="str">
        <f>VLOOKUP(F453,Produtos!A:B,2,FALSE)</f>
        <v>GUARANA CHP ANTARCT LT350ML SH C/12 NPAL</v>
      </c>
      <c r="H453" t="s">
        <v>473</v>
      </c>
      <c r="I45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3" s="9" t="str">
        <f>VLOOKUP(Table1[[#This Row],[Área avaliada]],Endereços!A:B,2,0)</f>
        <v>Área Azul</v>
      </c>
      <c r="K453" t="str">
        <f>VLOOKUP(Table1[[#This Row],[Nome do avaliador ]],M:N,2,0)</f>
        <v>A</v>
      </c>
    </row>
    <row r="454" spans="1:11" x14ac:dyDescent="0.3">
      <c r="A454">
        <v>453</v>
      </c>
      <c r="B454" s="1">
        <v>45861.517280092601</v>
      </c>
      <c r="C454" s="1">
        <v>45861.519722222198</v>
      </c>
      <c r="D454" t="s">
        <v>7</v>
      </c>
      <c r="E454" t="s">
        <v>12</v>
      </c>
      <c r="G454" t="e">
        <f>VLOOKUP(F454,Produtos!A:B,2,FALSE)</f>
        <v>#N/A</v>
      </c>
      <c r="H454" t="s">
        <v>484</v>
      </c>
      <c r="I45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4" s="9" t="str">
        <f>VLOOKUP(Table1[[#This Row],[Área avaliada]],Endereços!A:B,2,0)</f>
        <v>Área Verde</v>
      </c>
      <c r="K454" t="str">
        <f>VLOOKUP(Table1[[#This Row],[Nome do avaliador ]],M:N,2,0)</f>
        <v>A</v>
      </c>
    </row>
    <row r="455" spans="1:11" x14ac:dyDescent="0.3">
      <c r="A455">
        <v>454</v>
      </c>
      <c r="B455" s="1">
        <v>45861.5284606481</v>
      </c>
      <c r="C455" s="1">
        <v>45861.529016203698</v>
      </c>
      <c r="D455" t="s">
        <v>19</v>
      </c>
      <c r="E455" t="s">
        <v>25</v>
      </c>
      <c r="F455" s="2">
        <v>9084</v>
      </c>
      <c r="G455" s="2" t="str">
        <f>VLOOKUP(F455,Produtos!A:B,2,FALSE)</f>
        <v>GUARANA CHP ANTARCT LT350ML SH C/12 NPAL</v>
      </c>
      <c r="H455" t="s">
        <v>473</v>
      </c>
      <c r="I45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5" s="9" t="str">
        <f>VLOOKUP(Table1[[#This Row],[Área avaliada]],Endereços!A:B,2,0)</f>
        <v>Área Azul</v>
      </c>
      <c r="K455" t="str">
        <f>VLOOKUP(Table1[[#This Row],[Nome do avaliador ]],M:N,2,0)</f>
        <v>A</v>
      </c>
    </row>
    <row r="456" spans="1:11" x14ac:dyDescent="0.3">
      <c r="A456">
        <v>455</v>
      </c>
      <c r="B456" s="1">
        <v>45862.383958333303</v>
      </c>
      <c r="C456" s="1">
        <v>45862.384571759299</v>
      </c>
      <c r="D456" t="s">
        <v>19</v>
      </c>
      <c r="E456" t="s">
        <v>23</v>
      </c>
      <c r="F456" s="2">
        <v>9067</v>
      </c>
      <c r="G456" s="2" t="str">
        <f>VLOOKUP(F456,Produtos!A:B,2,FALSE)</f>
        <v>ANTARCTICA PILSEN LATA 350ML SH C/12 NPA</v>
      </c>
      <c r="H456" t="s">
        <v>473</v>
      </c>
      <c r="I45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6" s="9" t="str">
        <f>VLOOKUP(Table1[[#This Row],[Área avaliada]],Endereços!A:B,2,0)</f>
        <v>Área Azul</v>
      </c>
      <c r="K456" t="str">
        <f>VLOOKUP(Table1[[#This Row],[Nome do avaliador ]],M:N,2,0)</f>
        <v>A</v>
      </c>
    </row>
    <row r="457" spans="1:11" x14ac:dyDescent="0.3">
      <c r="A457">
        <v>456</v>
      </c>
      <c r="B457" s="1">
        <v>45862.385451388902</v>
      </c>
      <c r="C457" s="1">
        <v>45862.386099536998</v>
      </c>
      <c r="D457" t="s">
        <v>19</v>
      </c>
      <c r="E457" t="s">
        <v>23</v>
      </c>
      <c r="F457" s="2">
        <v>9068</v>
      </c>
      <c r="G457" s="2" t="str">
        <f>VLOOKUP(F457,Produtos!A:B,2,FALSE)</f>
        <v>SKOL LATA 350ML SH C/12 NPAL</v>
      </c>
      <c r="H457" t="s">
        <v>475</v>
      </c>
      <c r="I45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7" s="9" t="str">
        <f>VLOOKUP(Table1[[#This Row],[Área avaliada]],Endereços!A:B,2,0)</f>
        <v>Área Azul</v>
      </c>
      <c r="K457" t="str">
        <f>VLOOKUP(Table1[[#This Row],[Nome do avaliador ]],M:N,2,0)</f>
        <v>A</v>
      </c>
    </row>
    <row r="458" spans="1:11" x14ac:dyDescent="0.3">
      <c r="A458">
        <v>457</v>
      </c>
      <c r="B458" s="1">
        <v>45862.387847222199</v>
      </c>
      <c r="C458" s="1">
        <v>45862.388634259303</v>
      </c>
      <c r="D458" t="s">
        <v>19</v>
      </c>
      <c r="E458" t="s">
        <v>20</v>
      </c>
      <c r="F458" s="2">
        <v>9091</v>
      </c>
      <c r="G458" s="2" t="str">
        <f>VLOOKUP(F458,Produtos!A:B,2,FALSE)</f>
        <v>TONICA ANTARCTICA LT 350ML SH C/12 NPAL</v>
      </c>
      <c r="H458" t="s">
        <v>473</v>
      </c>
      <c r="I45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8" s="9" t="str">
        <f>VLOOKUP(Table1[[#This Row],[Área avaliada]],Endereços!A:B,2,0)</f>
        <v>Área Azul</v>
      </c>
      <c r="K458" t="str">
        <f>VLOOKUP(Table1[[#This Row],[Nome do avaliador ]],M:N,2,0)</f>
        <v>A</v>
      </c>
    </row>
    <row r="459" spans="1:11" x14ac:dyDescent="0.3">
      <c r="A459">
        <v>458</v>
      </c>
      <c r="B459" s="1">
        <v>45862.3927430556</v>
      </c>
      <c r="C459" s="1">
        <v>45862.397777777798</v>
      </c>
      <c r="D459" t="s">
        <v>17</v>
      </c>
      <c r="E459" t="s">
        <v>23</v>
      </c>
      <c r="F459" s="2">
        <v>20651</v>
      </c>
      <c r="G459" s="2" t="str">
        <f>VLOOKUP(F459,Produtos!A:B,2,FALSE)</f>
        <v>CORONA N LT SLEEK 350ML CX 8</v>
      </c>
      <c r="H459" t="s">
        <v>475</v>
      </c>
      <c r="I4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9" s="9" t="str">
        <f>VLOOKUP(Table1[[#This Row],[Área avaliada]],Endereços!A:B,2,0)</f>
        <v>Área Azul</v>
      </c>
      <c r="K459" t="s">
        <v>510</v>
      </c>
    </row>
    <row r="460" spans="1:11" x14ac:dyDescent="0.3">
      <c r="A460">
        <v>459</v>
      </c>
      <c r="B460" s="1">
        <v>45862.397800925901</v>
      </c>
      <c r="C460" s="1">
        <v>45862.3984375</v>
      </c>
      <c r="D460" t="s">
        <v>17</v>
      </c>
      <c r="E460" t="s">
        <v>23</v>
      </c>
      <c r="F460" s="2">
        <v>9096</v>
      </c>
      <c r="G460" s="2" t="str">
        <f>VLOOKUP(F460,Produtos!A:B,2,FALSE)</f>
        <v>PEPSI COLA LATA 350ML SH C/12 NPAL</v>
      </c>
      <c r="H460" t="s">
        <v>475</v>
      </c>
      <c r="I4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0" s="9" t="str">
        <f>VLOOKUP(Table1[[#This Row],[Área avaliada]],Endereços!A:B,2,0)</f>
        <v>Área Azul</v>
      </c>
      <c r="K460" t="s">
        <v>510</v>
      </c>
    </row>
    <row r="461" spans="1:11" x14ac:dyDescent="0.3">
      <c r="A461">
        <v>460</v>
      </c>
      <c r="B461" s="1">
        <v>45862.519652777803</v>
      </c>
      <c r="C461" s="1">
        <v>45862.520254629599</v>
      </c>
      <c r="D461" t="s">
        <v>17</v>
      </c>
      <c r="E461" t="s">
        <v>23</v>
      </c>
      <c r="F461" s="2">
        <v>18490</v>
      </c>
      <c r="G461" s="2" t="str">
        <f>VLOOKUP(F461,Produtos!A:B,2,FALSE)</f>
        <v>PATAGONIA AMB LAG NAC LATA 473ML 6PACK</v>
      </c>
      <c r="H461" t="s">
        <v>475</v>
      </c>
      <c r="I4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1" s="9" t="str">
        <f>VLOOKUP(Table1[[#This Row],[Área avaliada]],Endereços!A:B,2,0)</f>
        <v>Área Azul</v>
      </c>
      <c r="K461" t="s">
        <v>510</v>
      </c>
    </row>
    <row r="462" spans="1:11" x14ac:dyDescent="0.3">
      <c r="A462">
        <v>461</v>
      </c>
      <c r="B462" s="1">
        <v>45863.2722685185</v>
      </c>
      <c r="C462" s="1">
        <v>45863.272754629601</v>
      </c>
      <c r="D462" t="s">
        <v>17</v>
      </c>
      <c r="E462" t="s">
        <v>23</v>
      </c>
      <c r="F462" s="2">
        <v>9320</v>
      </c>
      <c r="G462" s="2" t="str">
        <f>VLOOKUP(F462,Produtos!A:B,2,FALSE)</f>
        <v>BRAHMA CHOPP LT 473ML SH C/12 NPAL</v>
      </c>
      <c r="H462" t="s">
        <v>475</v>
      </c>
      <c r="I4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2" s="9" t="str">
        <f>VLOOKUP(Table1[[#This Row],[Área avaliada]],Endereços!A:B,2,0)</f>
        <v>Área Azul</v>
      </c>
      <c r="K462" t="s">
        <v>510</v>
      </c>
    </row>
    <row r="463" spans="1:11" x14ac:dyDescent="0.3">
      <c r="A463">
        <v>462</v>
      </c>
      <c r="B463" s="1">
        <v>45863.272777777798</v>
      </c>
      <c r="C463" s="1">
        <v>45863.2733912037</v>
      </c>
      <c r="D463" t="s">
        <v>17</v>
      </c>
      <c r="E463" t="s">
        <v>23</v>
      </c>
      <c r="F463" s="2">
        <v>9087</v>
      </c>
      <c r="G463" s="2" t="str">
        <f>VLOOKUP(F463,Produtos!A:B,2,FALSE)</f>
        <v>SODA LIMONADA ANTAR LT350ML SH C/12 NPAL</v>
      </c>
      <c r="H463" t="s">
        <v>475</v>
      </c>
      <c r="I4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3" s="9" t="str">
        <f>VLOOKUP(Table1[[#This Row],[Área avaliada]],Endereços!A:B,2,0)</f>
        <v>Área Azul</v>
      </c>
      <c r="K463" t="s">
        <v>510</v>
      </c>
    </row>
    <row r="464" spans="1:11" x14ac:dyDescent="0.3">
      <c r="A464">
        <v>463</v>
      </c>
      <c r="B464" s="1">
        <v>45863.574965277803</v>
      </c>
      <c r="C464" s="1">
        <v>45863.575624999998</v>
      </c>
      <c r="D464" t="s">
        <v>17</v>
      </c>
      <c r="E464" t="s">
        <v>25</v>
      </c>
      <c r="F464" s="2">
        <v>17808</v>
      </c>
      <c r="G464" s="2" t="str">
        <f>VLOOKUP(F464,Produtos!A:B,2,FALSE)</f>
        <v>BUDWEISER OW 330ML CX C 24</v>
      </c>
      <c r="H464" t="s">
        <v>475</v>
      </c>
      <c r="I4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4" s="9" t="str">
        <f>VLOOKUP(Table1[[#This Row],[Área avaliada]],Endereços!A:B,2,0)</f>
        <v>Área Azul</v>
      </c>
      <c r="K464" t="s">
        <v>510</v>
      </c>
    </row>
    <row r="465" spans="1:11" x14ac:dyDescent="0.3">
      <c r="A465">
        <v>464</v>
      </c>
      <c r="B465" s="1">
        <v>45863.690185185202</v>
      </c>
      <c r="C465" s="1">
        <v>45863.692905092597</v>
      </c>
      <c r="D465" t="s">
        <v>35</v>
      </c>
      <c r="E465" t="s">
        <v>20</v>
      </c>
      <c r="F465" s="2">
        <v>1695</v>
      </c>
      <c r="G465" s="2" t="str">
        <f>VLOOKUP(F465,Produtos!A:B,2,FALSE)</f>
        <v>BRAHMA CHOPP GFA VD 1L COM TTC</v>
      </c>
      <c r="H465" t="s">
        <v>487</v>
      </c>
      <c r="I4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5" s="9" t="str">
        <f>VLOOKUP(Table1[[#This Row],[Área avaliada]],Endereços!A:B,2,0)</f>
        <v>Área Azul</v>
      </c>
      <c r="K465" t="str">
        <f>VLOOKUP(Table1[[#This Row],[Nome do avaliador ]],M:N,2,0)</f>
        <v>B</v>
      </c>
    </row>
    <row r="466" spans="1:11" x14ac:dyDescent="0.3">
      <c r="A466">
        <v>465</v>
      </c>
      <c r="B466" s="1">
        <v>45864.277384259301</v>
      </c>
      <c r="C466" s="1">
        <v>45864.278321759302</v>
      </c>
      <c r="D466" t="s">
        <v>17</v>
      </c>
      <c r="E466" t="s">
        <v>25</v>
      </c>
      <c r="F466" s="2">
        <v>17797</v>
      </c>
      <c r="G466" s="2" t="str">
        <f>VLOOKUP(F466,Produtos!A:B,2,FALSE)</f>
        <v>BRAHMA CHOPP LATA 350ML SH 18 MULTIPACK</v>
      </c>
      <c r="H466" t="s">
        <v>475</v>
      </c>
      <c r="I4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6" s="9" t="str">
        <f>VLOOKUP(Table1[[#This Row],[Área avaliada]],Endereços!A:B,2,0)</f>
        <v>Área Azul</v>
      </c>
      <c r="K466" t="s">
        <v>510</v>
      </c>
    </row>
    <row r="467" spans="1:11" x14ac:dyDescent="0.3">
      <c r="A467">
        <v>466</v>
      </c>
      <c r="B467" s="1">
        <v>45864.277696759302</v>
      </c>
      <c r="C467" s="1">
        <v>45864.278437499997</v>
      </c>
      <c r="D467" t="s">
        <v>19</v>
      </c>
      <c r="E467" t="s">
        <v>25</v>
      </c>
      <c r="F467" s="2">
        <v>9084</v>
      </c>
      <c r="G467" s="2" t="str">
        <f>VLOOKUP(F467,Produtos!A:B,2,FALSE)</f>
        <v>GUARANA CHP ANTARCT LT350ML SH C/12 NPAL</v>
      </c>
      <c r="H467" t="s">
        <v>475</v>
      </c>
      <c r="I4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7" s="9" t="str">
        <f>VLOOKUP(Table1[[#This Row],[Área avaliada]],Endereços!A:B,2,0)</f>
        <v>Área Azul</v>
      </c>
      <c r="K467" t="str">
        <f>VLOOKUP(Table1[[#This Row],[Nome do avaliador ]],M:N,2,0)</f>
        <v>A</v>
      </c>
    </row>
    <row r="468" spans="1:11" x14ac:dyDescent="0.3">
      <c r="A468">
        <v>467</v>
      </c>
      <c r="B468" s="1">
        <v>45864.280416666697</v>
      </c>
      <c r="C468" s="1">
        <v>45864.280914351897</v>
      </c>
      <c r="D468" t="s">
        <v>19</v>
      </c>
      <c r="E468" t="s">
        <v>20</v>
      </c>
      <c r="F468" s="2">
        <v>2349</v>
      </c>
      <c r="G468" s="2" t="str">
        <f>VLOOKUP(F468,Produtos!A:B,2,FALSE)</f>
        <v>GUARANA CHP ANTARCTICA PET 2L CAIXA C/6</v>
      </c>
      <c r="H468" t="s">
        <v>473</v>
      </c>
      <c r="I4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8" s="9" t="str">
        <f>VLOOKUP(Table1[[#This Row],[Área avaliada]],Endereços!A:B,2,0)</f>
        <v>Área Azul</v>
      </c>
      <c r="K468" t="str">
        <f>VLOOKUP(Table1[[#This Row],[Nome do avaliador ]],M:N,2,0)</f>
        <v>A</v>
      </c>
    </row>
    <row r="469" spans="1:11" x14ac:dyDescent="0.3">
      <c r="A469">
        <v>468</v>
      </c>
      <c r="B469" s="1">
        <v>45864.284259259301</v>
      </c>
      <c r="C469" s="1">
        <v>45864.285057870402</v>
      </c>
      <c r="D469" t="s">
        <v>17</v>
      </c>
      <c r="E469" t="s">
        <v>23</v>
      </c>
      <c r="F469" s="2">
        <v>9320</v>
      </c>
      <c r="G469" s="2" t="str">
        <f>VLOOKUP(F469,Produtos!A:B,2,FALSE)</f>
        <v>BRAHMA CHOPP LT 473ML SH C/12 NPAL</v>
      </c>
      <c r="H469" t="s">
        <v>475</v>
      </c>
      <c r="I4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9" s="9" t="str">
        <f>VLOOKUP(Table1[[#This Row],[Área avaliada]],Endereços!A:B,2,0)</f>
        <v>Área Azul</v>
      </c>
      <c r="K469" t="s">
        <v>510</v>
      </c>
    </row>
    <row r="470" spans="1:11" x14ac:dyDescent="0.3">
      <c r="A470">
        <v>469</v>
      </c>
      <c r="B470" s="1">
        <v>45864.284733796303</v>
      </c>
      <c r="C470" s="1">
        <v>45864.285347222198</v>
      </c>
      <c r="D470" t="s">
        <v>19</v>
      </c>
      <c r="E470" t="s">
        <v>23</v>
      </c>
      <c r="F470" s="2">
        <v>8336</v>
      </c>
      <c r="G470" s="2" t="str">
        <f>VLOOKUP(F470,Produtos!A:B,2,FALSE)</f>
        <v>ORIGINAL ONE WAY 600ML CX 12</v>
      </c>
      <c r="H470" t="s">
        <v>473</v>
      </c>
      <c r="I4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0" s="9" t="str">
        <f>VLOOKUP(Table1[[#This Row],[Área avaliada]],Endereços!A:B,2,0)</f>
        <v>Área Azul</v>
      </c>
      <c r="K470" t="str">
        <f>VLOOKUP(Table1[[#This Row],[Nome do avaliador ]],M:N,2,0)</f>
        <v>A</v>
      </c>
    </row>
    <row r="471" spans="1:11" x14ac:dyDescent="0.3">
      <c r="A471">
        <v>470</v>
      </c>
      <c r="B471" s="1">
        <v>45864.286516203698</v>
      </c>
      <c r="C471" s="1">
        <v>45864.2870833333</v>
      </c>
      <c r="D471" t="s">
        <v>19</v>
      </c>
      <c r="E471" t="s">
        <v>23</v>
      </c>
      <c r="F471" s="2">
        <v>17725</v>
      </c>
      <c r="G471" s="2" t="str">
        <f>VLOOKUP(F471,Produtos!A:B,2,FALSE)</f>
        <v>ANTARCTICA PILSEN LT 350ML SH C/18 MULTP</v>
      </c>
      <c r="H471" t="s">
        <v>473</v>
      </c>
      <c r="I4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1" s="9" t="str">
        <f>VLOOKUP(Table1[[#This Row],[Área avaliada]],Endereços!A:B,2,0)</f>
        <v>Área Azul</v>
      </c>
      <c r="K471" t="str">
        <f>VLOOKUP(Table1[[#This Row],[Nome do avaliador ]],M:N,2,0)</f>
        <v>A</v>
      </c>
    </row>
    <row r="472" spans="1:11" x14ac:dyDescent="0.3">
      <c r="A472">
        <v>471</v>
      </c>
      <c r="B472" s="1">
        <v>45864.287881944401</v>
      </c>
      <c r="C472" s="1">
        <v>45864.288495370398</v>
      </c>
      <c r="D472" t="s">
        <v>17</v>
      </c>
      <c r="E472" t="s">
        <v>23</v>
      </c>
      <c r="F472" s="2">
        <v>19229</v>
      </c>
      <c r="G472" s="2" t="str">
        <f>VLOOKUP(F472,Produtos!A:B,2,FALSE)</f>
        <v>RED BULL BR LATA 250ML SIX PACK NPAL</v>
      </c>
      <c r="H472" t="s">
        <v>475</v>
      </c>
      <c r="I4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2" s="9" t="str">
        <f>VLOOKUP(Table1[[#This Row],[Área avaliada]],Endereços!A:B,2,0)</f>
        <v>Área Azul</v>
      </c>
      <c r="K472" t="s">
        <v>510</v>
      </c>
    </row>
    <row r="473" spans="1:11" x14ac:dyDescent="0.3">
      <c r="A473">
        <v>472</v>
      </c>
      <c r="B473" s="1">
        <v>45864.375324074099</v>
      </c>
      <c r="C473" s="1">
        <v>45864.375995370399</v>
      </c>
      <c r="D473" t="s">
        <v>19</v>
      </c>
      <c r="E473" t="s">
        <v>23</v>
      </c>
      <c r="F473" s="2">
        <v>2008</v>
      </c>
      <c r="G473" s="2" t="str">
        <f>VLOOKUP(F473,Produtos!A:B,2,FALSE)</f>
        <v>ANTARCTICA SUBZERO LT 350ML SH C/12 NPAL</v>
      </c>
      <c r="H473" t="s">
        <v>473</v>
      </c>
      <c r="I4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3" s="9" t="str">
        <f>VLOOKUP(Table1[[#This Row],[Área avaliada]],Endereços!A:B,2,0)</f>
        <v>Área Azul</v>
      </c>
      <c r="K473" t="str">
        <f>VLOOKUP(Table1[[#This Row],[Nome do avaliador ]],M:N,2,0)</f>
        <v>A</v>
      </c>
    </row>
    <row r="474" spans="1:11" x14ac:dyDescent="0.3">
      <c r="A474">
        <v>473</v>
      </c>
      <c r="B474" s="1">
        <v>45864.376550925903</v>
      </c>
      <c r="C474" s="1">
        <v>45864.377187500002</v>
      </c>
      <c r="D474" t="s">
        <v>19</v>
      </c>
      <c r="E474" t="s">
        <v>23</v>
      </c>
      <c r="F474" s="2">
        <v>9067</v>
      </c>
      <c r="G474" s="2" t="str">
        <f>VLOOKUP(F474,Produtos!A:B,2,FALSE)</f>
        <v>ANTARCTICA PILSEN LATA 350ML SH C/12 NPA</v>
      </c>
      <c r="H474" t="s">
        <v>473</v>
      </c>
      <c r="I4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4" s="9" t="str">
        <f>VLOOKUP(Table1[[#This Row],[Área avaliada]],Endereços!A:B,2,0)</f>
        <v>Área Azul</v>
      </c>
      <c r="K474" t="str">
        <f>VLOOKUP(Table1[[#This Row],[Nome do avaliador ]],M:N,2,0)</f>
        <v>A</v>
      </c>
    </row>
    <row r="475" spans="1:11" x14ac:dyDescent="0.3">
      <c r="A475">
        <v>474</v>
      </c>
      <c r="B475" s="1">
        <v>45864.528287036999</v>
      </c>
      <c r="C475" s="1">
        <v>45864.528749999998</v>
      </c>
      <c r="D475" t="s">
        <v>19</v>
      </c>
      <c r="E475" t="s">
        <v>23</v>
      </c>
      <c r="F475" s="2">
        <v>9096</v>
      </c>
      <c r="G475" s="2" t="str">
        <f>VLOOKUP(F475,Produtos!A:B,2,FALSE)</f>
        <v>PEPSI COLA LATA 350ML SH C/12 NPAL</v>
      </c>
      <c r="H475" t="s">
        <v>473</v>
      </c>
      <c r="I4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5" s="9" t="str">
        <f>VLOOKUP(Table1[[#This Row],[Área avaliada]],Endereços!A:B,2,0)</f>
        <v>Área Azul</v>
      </c>
      <c r="K475" t="str">
        <f>VLOOKUP(Table1[[#This Row],[Nome do avaliador ]],M:N,2,0)</f>
        <v>A</v>
      </c>
    </row>
    <row r="476" spans="1:11" x14ac:dyDescent="0.3">
      <c r="A476">
        <v>475</v>
      </c>
      <c r="B476" s="1">
        <v>45866.441932870403</v>
      </c>
      <c r="C476" s="1">
        <v>45866.445914351803</v>
      </c>
      <c r="D476" t="s">
        <v>17</v>
      </c>
      <c r="E476" t="s">
        <v>23</v>
      </c>
      <c r="F476" s="2">
        <v>17678</v>
      </c>
      <c r="G476" s="2" t="str">
        <f>VLOOKUP(F476,Produtos!A:B,2,FALSE)</f>
        <v>SKOL LATA 350ML SH C/18 NPAL MULTPACK</v>
      </c>
      <c r="H476" t="s">
        <v>475</v>
      </c>
      <c r="I4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6" s="9" t="str">
        <f>VLOOKUP(Table1[[#This Row],[Área avaliada]],Endereços!A:B,2,0)</f>
        <v>Área Azul</v>
      </c>
      <c r="K476" t="s">
        <v>510</v>
      </c>
    </row>
    <row r="477" spans="1:11" x14ac:dyDescent="0.3">
      <c r="A477">
        <v>476</v>
      </c>
      <c r="B477" s="1">
        <v>45866.445937500001</v>
      </c>
      <c r="C477" s="1">
        <v>45866.446770833303</v>
      </c>
      <c r="D477" t="s">
        <v>17</v>
      </c>
      <c r="E477" t="s">
        <v>23</v>
      </c>
      <c r="F477" s="2">
        <v>9087</v>
      </c>
      <c r="G477" s="2" t="str">
        <f>VLOOKUP(F477,Produtos!A:B,2,FALSE)</f>
        <v>SODA LIMONADA ANTAR LT350ML SH C/12 NPAL</v>
      </c>
      <c r="H477" t="s">
        <v>475</v>
      </c>
      <c r="I4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7" s="9" t="str">
        <f>VLOOKUP(Table1[[#This Row],[Área avaliada]],Endereços!A:B,2,0)</f>
        <v>Área Azul</v>
      </c>
      <c r="K477" t="s">
        <v>510</v>
      </c>
    </row>
    <row r="478" spans="1:11" x14ac:dyDescent="0.3">
      <c r="A478">
        <v>477</v>
      </c>
      <c r="B478" s="1">
        <v>45866.484537037002</v>
      </c>
      <c r="C478" s="1">
        <v>45866.485011574099</v>
      </c>
      <c r="D478" t="s">
        <v>17</v>
      </c>
      <c r="E478" t="s">
        <v>23</v>
      </c>
      <c r="F478" s="2">
        <v>9087</v>
      </c>
      <c r="G478" s="2" t="str">
        <f>VLOOKUP(F478,Produtos!A:B,2,FALSE)</f>
        <v>SODA LIMONADA ANTAR LT350ML SH C/12 NPAL</v>
      </c>
      <c r="H478" t="s">
        <v>475</v>
      </c>
      <c r="I4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8" s="9" t="str">
        <f>VLOOKUP(Table1[[#This Row],[Área avaliada]],Endereços!A:B,2,0)</f>
        <v>Área Azul</v>
      </c>
      <c r="K478" t="s">
        <v>510</v>
      </c>
    </row>
    <row r="479" spans="1:11" x14ac:dyDescent="0.3">
      <c r="A479">
        <v>478</v>
      </c>
      <c r="B479" s="1">
        <v>45866.550613425898</v>
      </c>
      <c r="C479" s="1">
        <v>45866.551435185203</v>
      </c>
      <c r="D479" t="s">
        <v>19</v>
      </c>
      <c r="E479" t="s">
        <v>25</v>
      </c>
      <c r="F479" s="2">
        <v>2349</v>
      </c>
      <c r="G479" s="2" t="str">
        <f>VLOOKUP(F479,Produtos!A:B,2,FALSE)</f>
        <v>GUARANA CHP ANTARCTICA PET 2L CAIXA C/6</v>
      </c>
      <c r="H479" t="s">
        <v>474</v>
      </c>
      <c r="I4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9" s="9" t="str">
        <f>VLOOKUP(Table1[[#This Row],[Área avaliada]],Endereços!A:B,2,0)</f>
        <v>Área Azul</v>
      </c>
      <c r="K479" t="str">
        <f>VLOOKUP(Table1[[#This Row],[Nome do avaliador ]],M:N,2,0)</f>
        <v>A</v>
      </c>
    </row>
    <row r="480" spans="1:11" x14ac:dyDescent="0.3">
      <c r="A480">
        <v>479</v>
      </c>
      <c r="B480" s="1">
        <v>45866.735868055599</v>
      </c>
      <c r="C480" s="1">
        <v>45866.736574074101</v>
      </c>
      <c r="D480" t="s">
        <v>21</v>
      </c>
      <c r="E480" t="s">
        <v>32</v>
      </c>
      <c r="G480" t="e">
        <f>VLOOKUP(F480,Produtos!A:B,2,FALSE)</f>
        <v>#N/A</v>
      </c>
      <c r="H480" t="s">
        <v>477</v>
      </c>
      <c r="I4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0" s="9" t="str">
        <f>VLOOKUP(Table1[[#This Row],[Área avaliada]],Endereços!A:B,2,0)</f>
        <v>Área Vermelho</v>
      </c>
      <c r="K480" t="str">
        <f>VLOOKUP(Table1[[#This Row],[Nome do avaliador ]],M:N,2,0)</f>
        <v>B</v>
      </c>
    </row>
    <row r="481" spans="1:11" x14ac:dyDescent="0.3">
      <c r="A481">
        <v>480</v>
      </c>
      <c r="B481" s="1">
        <v>45867.300891203697</v>
      </c>
      <c r="C481" s="1">
        <v>45867.301539351902</v>
      </c>
      <c r="D481" t="s">
        <v>19</v>
      </c>
      <c r="E481" t="s">
        <v>23</v>
      </c>
      <c r="F481" s="2">
        <v>9087</v>
      </c>
      <c r="G481" s="2" t="str">
        <f>VLOOKUP(F481,Produtos!A:B,2,FALSE)</f>
        <v>SODA LIMONADA ANTAR LT350ML SH C/12 NPAL</v>
      </c>
      <c r="H481" t="s">
        <v>473</v>
      </c>
      <c r="I4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1" s="9" t="str">
        <f>VLOOKUP(Table1[[#This Row],[Área avaliada]],Endereços!A:B,2,0)</f>
        <v>Área Azul</v>
      </c>
      <c r="K481" t="str">
        <f>VLOOKUP(Table1[[#This Row],[Nome do avaliador ]],M:N,2,0)</f>
        <v>A</v>
      </c>
    </row>
    <row r="482" spans="1:11" x14ac:dyDescent="0.3">
      <c r="A482">
        <v>481</v>
      </c>
      <c r="B482" s="1">
        <v>45867.405925925901</v>
      </c>
      <c r="C482" s="1">
        <v>45867.406493055598</v>
      </c>
      <c r="D482" t="s">
        <v>19</v>
      </c>
      <c r="E482" t="s">
        <v>23</v>
      </c>
      <c r="F482" s="2">
        <v>9067</v>
      </c>
      <c r="G482" s="2" t="str">
        <f>VLOOKUP(F482,Produtos!A:B,2,FALSE)</f>
        <v>ANTARCTICA PILSEN LATA 350ML SH C/12 NPA</v>
      </c>
      <c r="H482" t="s">
        <v>473</v>
      </c>
      <c r="I4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2" s="9" t="str">
        <f>VLOOKUP(Table1[[#This Row],[Área avaliada]],Endereços!A:B,2,0)</f>
        <v>Área Azul</v>
      </c>
      <c r="K482" t="str">
        <f>VLOOKUP(Table1[[#This Row],[Nome do avaliador ]],M:N,2,0)</f>
        <v>A</v>
      </c>
    </row>
    <row r="483" spans="1:11" x14ac:dyDescent="0.3">
      <c r="A483">
        <v>482</v>
      </c>
      <c r="B483" s="1">
        <v>45867.4539814815</v>
      </c>
      <c r="C483" s="1">
        <v>45867.454594907402</v>
      </c>
      <c r="D483" t="s">
        <v>17</v>
      </c>
      <c r="E483" t="s">
        <v>23</v>
      </c>
      <c r="F483" s="2">
        <v>19729</v>
      </c>
      <c r="G483" s="2" t="str">
        <f>VLOOKUP(F483,Produtos!A:B,2,FALSE)</f>
        <v>STELLA ARTOIS LT SLEEK 350ML C 8 CX CART</v>
      </c>
      <c r="H483" t="s">
        <v>475</v>
      </c>
      <c r="I4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3" s="9" t="str">
        <f>VLOOKUP(Table1[[#This Row],[Área avaliada]],Endereços!A:B,2,0)</f>
        <v>Área Azul</v>
      </c>
      <c r="K483" t="s">
        <v>510</v>
      </c>
    </row>
    <row r="484" spans="1:11" x14ac:dyDescent="0.3">
      <c r="A484">
        <v>483</v>
      </c>
      <c r="B484" s="1">
        <v>45867.454629629603</v>
      </c>
      <c r="C484" s="1">
        <v>45867.455138888901</v>
      </c>
      <c r="D484" t="s">
        <v>17</v>
      </c>
      <c r="E484" t="s">
        <v>23</v>
      </c>
      <c r="F484" s="2">
        <v>26462</v>
      </c>
      <c r="G484" s="2" t="str">
        <f>VLOOKUP(F484,Produtos!A:B,2,FALSE)</f>
        <v>ORIGINAL LT 473ML CX CARTAO C/12</v>
      </c>
      <c r="H484" t="s">
        <v>475</v>
      </c>
      <c r="I4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4" s="9" t="str">
        <f>VLOOKUP(Table1[[#This Row],[Área avaliada]],Endereços!A:B,2,0)</f>
        <v>Área Azul</v>
      </c>
      <c r="K484" t="s">
        <v>510</v>
      </c>
    </row>
    <row r="485" spans="1:11" x14ac:dyDescent="0.3">
      <c r="A485">
        <v>484</v>
      </c>
      <c r="B485" s="1">
        <v>45867.4552430556</v>
      </c>
      <c r="C485" s="1">
        <v>45867.455752314803</v>
      </c>
      <c r="D485" t="s">
        <v>17</v>
      </c>
      <c r="E485" t="s">
        <v>23</v>
      </c>
      <c r="F485" s="2">
        <v>9071</v>
      </c>
      <c r="G485" s="2" t="str">
        <f>VLOOKUP(F485,Produtos!A:B,2,FALSE)</f>
        <v>CARACU LATA 350ML SH C/12 NPAL</v>
      </c>
      <c r="H485" t="s">
        <v>475</v>
      </c>
      <c r="I4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5" s="9" t="str">
        <f>VLOOKUP(Table1[[#This Row],[Área avaliada]],Endereços!A:B,2,0)</f>
        <v>Área Azul</v>
      </c>
      <c r="K485" t="s">
        <v>510</v>
      </c>
    </row>
    <row r="486" spans="1:11" x14ac:dyDescent="0.3">
      <c r="A486">
        <v>485</v>
      </c>
      <c r="B486" s="1">
        <v>45868.524942129603</v>
      </c>
      <c r="C486" s="1">
        <v>45868.525451388901</v>
      </c>
      <c r="D486" t="s">
        <v>19</v>
      </c>
      <c r="E486" t="s">
        <v>23</v>
      </c>
      <c r="F486" s="2">
        <v>9320</v>
      </c>
      <c r="G486" s="2" t="str">
        <f>VLOOKUP(F486,Produtos!A:B,2,FALSE)</f>
        <v>BRAHMA CHOPP LT 473ML SH C/12 NPAL</v>
      </c>
      <c r="H486" t="s">
        <v>473</v>
      </c>
      <c r="I4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6" s="9" t="str">
        <f>VLOOKUP(Table1[[#This Row],[Área avaliada]],Endereços!A:B,2,0)</f>
        <v>Área Azul</v>
      </c>
      <c r="K486" t="str">
        <f>VLOOKUP(Table1[[#This Row],[Nome do avaliador ]],M:N,2,0)</f>
        <v>A</v>
      </c>
    </row>
    <row r="487" spans="1:11" x14ac:dyDescent="0.3">
      <c r="A487">
        <v>486</v>
      </c>
      <c r="B487" s="1">
        <v>45868.527233796303</v>
      </c>
      <c r="C487" s="1">
        <v>45868.527662036999</v>
      </c>
      <c r="D487" t="s">
        <v>19</v>
      </c>
      <c r="E487" t="s">
        <v>23</v>
      </c>
      <c r="F487" s="2">
        <v>9096</v>
      </c>
      <c r="G487" s="2" t="str">
        <f>VLOOKUP(F487,Produtos!A:B,2,FALSE)</f>
        <v>PEPSI COLA LATA 350ML SH C/12 NPAL</v>
      </c>
      <c r="H487" t="s">
        <v>473</v>
      </c>
      <c r="I4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7" s="9" t="str">
        <f>VLOOKUP(Table1[[#This Row],[Área avaliada]],Endereços!A:B,2,0)</f>
        <v>Área Azul</v>
      </c>
      <c r="K487" t="str">
        <f>VLOOKUP(Table1[[#This Row],[Nome do avaliador ]],M:N,2,0)</f>
        <v>A</v>
      </c>
    </row>
    <row r="488" spans="1:11" x14ac:dyDescent="0.3">
      <c r="A488">
        <v>487</v>
      </c>
      <c r="B488" s="1">
        <v>45868.5297685185</v>
      </c>
      <c r="C488" s="1">
        <v>45868.530335648102</v>
      </c>
      <c r="D488" t="s">
        <v>19</v>
      </c>
      <c r="E488" t="s">
        <v>23</v>
      </c>
      <c r="F488" s="2">
        <v>9084</v>
      </c>
      <c r="G488" s="2" t="str">
        <f>VLOOKUP(F488,Produtos!A:B,2,FALSE)</f>
        <v>GUARANA CHP ANTARCT LT350ML SH C/12 NPAL</v>
      </c>
      <c r="H488" t="s">
        <v>473</v>
      </c>
      <c r="I4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8" s="9" t="str">
        <f>VLOOKUP(Table1[[#This Row],[Área avaliada]],Endereços!A:B,2,0)</f>
        <v>Área Azul</v>
      </c>
      <c r="K488" t="str">
        <f>VLOOKUP(Table1[[#This Row],[Nome do avaliador ]],M:N,2,0)</f>
        <v>A</v>
      </c>
    </row>
    <row r="489" spans="1:11" x14ac:dyDescent="0.3">
      <c r="A489">
        <v>488</v>
      </c>
      <c r="B489" s="1">
        <v>45868.597326388903</v>
      </c>
      <c r="C489" s="1">
        <v>45868.597847222198</v>
      </c>
      <c r="D489" t="s">
        <v>17</v>
      </c>
      <c r="E489" t="s">
        <v>23</v>
      </c>
      <c r="F489" s="2">
        <v>9068</v>
      </c>
      <c r="G489" s="2" t="str">
        <f>VLOOKUP(F489,Produtos!A:B,2,FALSE)</f>
        <v>SKOL LATA 350ML SH C/12 NPAL</v>
      </c>
      <c r="H489" t="s">
        <v>475</v>
      </c>
      <c r="I4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9" s="9" t="str">
        <f>VLOOKUP(Table1[[#This Row],[Área avaliada]],Endereços!A:B,2,0)</f>
        <v>Área Azul</v>
      </c>
      <c r="K489" t="s">
        <v>510</v>
      </c>
    </row>
    <row r="490" spans="1:11" x14ac:dyDescent="0.3">
      <c r="A490">
        <v>489</v>
      </c>
      <c r="B490" s="1">
        <v>45868.597905092603</v>
      </c>
      <c r="C490" s="1">
        <v>45868.598495370403</v>
      </c>
      <c r="D490" t="s">
        <v>17</v>
      </c>
      <c r="E490" t="s">
        <v>23</v>
      </c>
      <c r="F490" s="2">
        <v>9096</v>
      </c>
      <c r="G490" s="2" t="str">
        <f>VLOOKUP(F490,Produtos!A:B,2,FALSE)</f>
        <v>PEPSI COLA LATA 350ML SH C/12 NPAL</v>
      </c>
      <c r="H490" t="s">
        <v>475</v>
      </c>
      <c r="I4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0" s="9" t="str">
        <f>VLOOKUP(Table1[[#This Row],[Área avaliada]],Endereços!A:B,2,0)</f>
        <v>Área Azul</v>
      </c>
      <c r="K490" t="s">
        <v>510</v>
      </c>
    </row>
    <row r="491" spans="1:11" x14ac:dyDescent="0.3">
      <c r="A491">
        <v>490</v>
      </c>
      <c r="B491" s="1">
        <v>45869.345578703702</v>
      </c>
      <c r="C491" s="1">
        <v>45869.346342592602</v>
      </c>
      <c r="D491" t="s">
        <v>19</v>
      </c>
      <c r="E491" t="s">
        <v>23</v>
      </c>
      <c r="F491" s="2">
        <v>9068</v>
      </c>
      <c r="G491" s="2" t="str">
        <f>VLOOKUP(F491,Produtos!A:B,2,FALSE)</f>
        <v>SKOL LATA 350ML SH C/12 NPAL</v>
      </c>
      <c r="H491" t="s">
        <v>473</v>
      </c>
      <c r="I4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1" s="9" t="str">
        <f>VLOOKUP(Table1[[#This Row],[Área avaliada]],Endereços!A:B,2,0)</f>
        <v>Área Azul</v>
      </c>
      <c r="K491" t="str">
        <f>VLOOKUP(Table1[[#This Row],[Nome do avaliador ]],M:N,2,0)</f>
        <v>A</v>
      </c>
    </row>
    <row r="492" spans="1:11" x14ac:dyDescent="0.3">
      <c r="A492">
        <v>491</v>
      </c>
      <c r="B492" s="1">
        <v>45869.347071759301</v>
      </c>
      <c r="C492" s="1">
        <v>45869.347523148099</v>
      </c>
      <c r="D492" t="s">
        <v>19</v>
      </c>
      <c r="E492" t="s">
        <v>23</v>
      </c>
      <c r="F492" s="2">
        <v>9067</v>
      </c>
      <c r="G492" s="2" t="str">
        <f>VLOOKUP(F492,Produtos!A:B,2,FALSE)</f>
        <v>ANTARCTICA PILSEN LATA 350ML SH C/12 NPA</v>
      </c>
      <c r="H492" t="s">
        <v>473</v>
      </c>
      <c r="I4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2" s="9" t="str">
        <f>VLOOKUP(Table1[[#This Row],[Área avaliada]],Endereços!A:B,2,0)</f>
        <v>Área Azul</v>
      </c>
      <c r="K492" t="str">
        <f>VLOOKUP(Table1[[#This Row],[Nome do avaliador ]],M:N,2,0)</f>
        <v>A</v>
      </c>
    </row>
    <row r="493" spans="1:11" x14ac:dyDescent="0.3">
      <c r="A493">
        <v>492</v>
      </c>
      <c r="B493" s="1">
        <v>45869.3488657407</v>
      </c>
      <c r="C493" s="1">
        <v>45869.349502314799</v>
      </c>
      <c r="D493" t="s">
        <v>19</v>
      </c>
      <c r="E493" t="s">
        <v>23</v>
      </c>
      <c r="F493" s="2">
        <v>14135</v>
      </c>
      <c r="G493" s="2" t="str">
        <f>VLOOKUP(F493,Produtos!A:B,2,FALSE)</f>
        <v>BUDWEISER LT 473ML SIX-PACK SH C/2 NPAL</v>
      </c>
      <c r="H493" t="s">
        <v>473</v>
      </c>
      <c r="I4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3" s="9" t="str">
        <f>VLOOKUP(Table1[[#This Row],[Área avaliada]],Endereços!A:B,2,0)</f>
        <v>Área Azul</v>
      </c>
      <c r="K493" t="str">
        <f>VLOOKUP(Table1[[#This Row],[Nome do avaliador ]],M:N,2,0)</f>
        <v>A</v>
      </c>
    </row>
    <row r="494" spans="1:11" x14ac:dyDescent="0.3">
      <c r="A494">
        <v>493</v>
      </c>
      <c r="B494" s="1">
        <v>45869.380127314798</v>
      </c>
      <c r="C494" s="1">
        <v>45869.380659722199</v>
      </c>
      <c r="D494" t="s">
        <v>17</v>
      </c>
      <c r="E494" t="s">
        <v>23</v>
      </c>
      <c r="F494" s="2">
        <v>371</v>
      </c>
      <c r="G494" s="2" t="str">
        <f>VLOOKUP(F494,Produtos!A:B,2,FALSE)</f>
        <v>MALZBIER BRAHMA LN355ML SIX PAC BAND C/4</v>
      </c>
      <c r="H494" t="s">
        <v>475</v>
      </c>
      <c r="I49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4" s="9" t="str">
        <f>VLOOKUP(Table1[[#This Row],[Área avaliada]],Endereços!A:B,2,0)</f>
        <v>Área Azul</v>
      </c>
      <c r="K494" t="s">
        <v>510</v>
      </c>
    </row>
    <row r="495" spans="1:11" x14ac:dyDescent="0.3">
      <c r="A495">
        <v>494</v>
      </c>
      <c r="B495" s="1">
        <v>45869.380682870396</v>
      </c>
      <c r="C495" s="1">
        <v>45869.381249999999</v>
      </c>
      <c r="D495" t="s">
        <v>17</v>
      </c>
      <c r="E495" t="s">
        <v>23</v>
      </c>
      <c r="F495" s="2">
        <v>9096</v>
      </c>
      <c r="G495" s="2" t="str">
        <f>VLOOKUP(F495,Produtos!A:B,2,FALSE)</f>
        <v>PEPSI COLA LATA 350ML SH C/12 NPAL</v>
      </c>
      <c r="H495" t="s">
        <v>475</v>
      </c>
      <c r="I49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5" s="9" t="str">
        <f>VLOOKUP(Table1[[#This Row],[Área avaliada]],Endereços!A:B,2,0)</f>
        <v>Área Azul</v>
      </c>
      <c r="K495" t="s">
        <v>510</v>
      </c>
    </row>
    <row r="496" spans="1:11" x14ac:dyDescent="0.3">
      <c r="A496">
        <v>495</v>
      </c>
      <c r="B496" s="1">
        <v>45869.381307870397</v>
      </c>
      <c r="C496" s="1">
        <v>45869.382881944402</v>
      </c>
      <c r="D496" t="s">
        <v>17</v>
      </c>
      <c r="E496" t="s">
        <v>20</v>
      </c>
      <c r="F496" s="2">
        <v>9067</v>
      </c>
      <c r="G496" s="2" t="str">
        <f>VLOOKUP(F496,Produtos!A:B,2,FALSE)</f>
        <v>ANTARCTICA PILSEN LATA 350ML SH C/12 NPA</v>
      </c>
      <c r="H496" t="s">
        <v>475</v>
      </c>
      <c r="I49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6" s="9" t="str">
        <f>VLOOKUP(Table1[[#This Row],[Área avaliada]],Endereços!A:B,2,0)</f>
        <v>Área Azul</v>
      </c>
      <c r="K496" t="s">
        <v>510</v>
      </c>
    </row>
    <row r="497" spans="1:11" x14ac:dyDescent="0.3">
      <c r="A497">
        <v>496</v>
      </c>
      <c r="B497" s="1">
        <v>45869.382939814801</v>
      </c>
      <c r="C497" s="1">
        <v>45869.383599537003</v>
      </c>
      <c r="D497" t="s">
        <v>17</v>
      </c>
      <c r="E497" t="s">
        <v>20</v>
      </c>
      <c r="F497" s="2">
        <v>9067</v>
      </c>
      <c r="G497" s="2" t="str">
        <f>VLOOKUP(F497,Produtos!A:B,2,FALSE)</f>
        <v>ANTARCTICA PILSEN LATA 350ML SH C/12 NPA</v>
      </c>
      <c r="H497" t="s">
        <v>475</v>
      </c>
      <c r="I49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7" s="9" t="str">
        <f>VLOOKUP(Table1[[#This Row],[Área avaliada]],Endereços!A:B,2,0)</f>
        <v>Área Azul</v>
      </c>
      <c r="K497" t="s">
        <v>510</v>
      </c>
    </row>
    <row r="498" spans="1:11" x14ac:dyDescent="0.3">
      <c r="A498">
        <v>497</v>
      </c>
      <c r="B498" s="1">
        <v>45869.383159722202</v>
      </c>
      <c r="C498" s="1">
        <v>45869.383807870399</v>
      </c>
      <c r="D498" t="s">
        <v>19</v>
      </c>
      <c r="E498" t="s">
        <v>23</v>
      </c>
      <c r="F498" s="2">
        <v>9067</v>
      </c>
      <c r="G498" s="2" t="str">
        <f>VLOOKUP(F498,Produtos!A:B,2,FALSE)</f>
        <v>ANTARCTICA PILSEN LATA 350ML SH C/12 NPA</v>
      </c>
      <c r="H498" t="s">
        <v>473</v>
      </c>
      <c r="I49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8" s="9" t="str">
        <f>VLOOKUP(Table1[[#This Row],[Área avaliada]],Endereços!A:B,2,0)</f>
        <v>Área Azul</v>
      </c>
      <c r="K498" t="str">
        <f>VLOOKUP(Table1[[#This Row],[Nome do avaliador ]],M:N,2,0)</f>
        <v>A</v>
      </c>
    </row>
    <row r="499" spans="1:11" x14ac:dyDescent="0.3">
      <c r="A499">
        <v>498</v>
      </c>
      <c r="B499" s="1">
        <v>45869.385289351798</v>
      </c>
      <c r="C499" s="1">
        <v>45869.386018518497</v>
      </c>
      <c r="D499" t="s">
        <v>19</v>
      </c>
      <c r="E499" t="s">
        <v>20</v>
      </c>
      <c r="F499" s="2">
        <v>19225</v>
      </c>
      <c r="G499" s="2" t="str">
        <f>VLOOKUP(F499,Produtos!A:B,2,FALSE)</f>
        <v>RED BULL BR LATA 250ML CAIXA C/24</v>
      </c>
      <c r="H499" t="s">
        <v>473</v>
      </c>
      <c r="I49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9" s="9" t="str">
        <f>VLOOKUP(Table1[[#This Row],[Área avaliada]],Endereços!A:B,2,0)</f>
        <v>Área Azul</v>
      </c>
      <c r="K499" t="str">
        <f>VLOOKUP(Table1[[#This Row],[Nome do avaliador ]],M:N,2,0)</f>
        <v>A</v>
      </c>
    </row>
    <row r="500" spans="1:11" x14ac:dyDescent="0.3">
      <c r="A500">
        <v>499</v>
      </c>
      <c r="B500" s="1">
        <v>45869.390023148102</v>
      </c>
      <c r="C500" s="1">
        <v>45869.3907175926</v>
      </c>
      <c r="D500" t="s">
        <v>19</v>
      </c>
      <c r="E500" t="s">
        <v>33</v>
      </c>
      <c r="F500" s="2">
        <v>7977</v>
      </c>
      <c r="G500" s="2" t="str">
        <f>VLOOKUP(F500,Produtos!A:B,2,FALSE)</f>
        <v>GATORADE UVA PET 500ML SIX PACK</v>
      </c>
      <c r="H500" t="s">
        <v>478</v>
      </c>
      <c r="I50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500" s="9" t="str">
        <f>VLOOKUP(Table1[[#This Row],[Área avaliada]],Endereços!A:B,2,0)</f>
        <v>Área Verde</v>
      </c>
      <c r="K500" t="str">
        <f>VLOOKUP(Table1[[#This Row],[Nome do avaliador ]],M:N,2,0)</f>
        <v>A</v>
      </c>
    </row>
    <row r="501" spans="1:11" x14ac:dyDescent="0.3">
      <c r="A501">
        <v>500</v>
      </c>
      <c r="B501" s="1">
        <v>45869.391550925902</v>
      </c>
      <c r="C501" s="1">
        <v>45869.392118055599</v>
      </c>
      <c r="D501" t="s">
        <v>19</v>
      </c>
      <c r="E501" t="s">
        <v>33</v>
      </c>
      <c r="F501" s="2">
        <v>7982</v>
      </c>
      <c r="G501" s="2" t="str">
        <f>VLOOKUP(F501,Produtos!A:B,2,FALSE)</f>
        <v>GATORADE LIMAO PET 500ML SIX PACK</v>
      </c>
      <c r="H501" t="s">
        <v>474</v>
      </c>
      <c r="I50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501" s="9" t="str">
        <f>VLOOKUP(Table1[[#This Row],[Área avaliada]],Endereços!A:B,2,0)</f>
        <v>Área Verde</v>
      </c>
      <c r="K501" t="str">
        <f>VLOOKUP(Table1[[#This Row],[Nome do avaliador ]],M:N,2,0)</f>
        <v>A</v>
      </c>
    </row>
    <row r="502" spans="1:11" x14ac:dyDescent="0.3">
      <c r="A502">
        <v>501</v>
      </c>
      <c r="B502" s="1">
        <v>45869.571863425903</v>
      </c>
      <c r="C502" s="1">
        <v>45869.572835648098</v>
      </c>
      <c r="D502" t="s">
        <v>17</v>
      </c>
      <c r="E502" t="s">
        <v>23</v>
      </c>
      <c r="F502" s="2">
        <v>9069</v>
      </c>
      <c r="G502" s="2" t="str">
        <f>VLOOKUP(F502,Produtos!A:B,2,FALSE)</f>
        <v>BRAHMA CHOPP LATA 350ML SH C/12 NPAL</v>
      </c>
      <c r="H502" t="s">
        <v>475</v>
      </c>
      <c r="I50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502" s="9" t="str">
        <f>VLOOKUP(Table1[[#This Row],[Área avaliada]],Endereços!A:B,2,0)</f>
        <v>Área Azul</v>
      </c>
      <c r="K502" t="s">
        <v>510</v>
      </c>
    </row>
    <row r="503" spans="1:11" x14ac:dyDescent="0.3">
      <c r="A503">
        <v>502</v>
      </c>
      <c r="B503" s="1">
        <v>45869.572916666701</v>
      </c>
      <c r="C503" s="1">
        <v>45869.574131944399</v>
      </c>
      <c r="D503" t="s">
        <v>17</v>
      </c>
      <c r="E503" t="s">
        <v>23</v>
      </c>
      <c r="F503" s="2">
        <v>20498</v>
      </c>
      <c r="G503" s="2" t="str">
        <f>VLOOKUP(F503,Produtos!A:B,2,FALSE)</f>
        <v>BRAHMA DUPLO MALTE LT SLEEK 350ML SH C12</v>
      </c>
      <c r="H503" t="s">
        <v>475</v>
      </c>
      <c r="I50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503" s="9" t="str">
        <f>VLOOKUP(Table1[[#This Row],[Área avaliada]],Endereços!A:B,2,0)</f>
        <v>Área Azul</v>
      </c>
      <c r="K503" t="s">
        <v>510</v>
      </c>
    </row>
    <row r="504" spans="1:11" x14ac:dyDescent="0.3">
      <c r="A504">
        <v>503</v>
      </c>
      <c r="B504" s="1">
        <v>45869.905185185198</v>
      </c>
      <c r="C504" s="1">
        <v>45869.905567129601</v>
      </c>
      <c r="D504" t="s">
        <v>21</v>
      </c>
      <c r="E504" t="s">
        <v>23</v>
      </c>
      <c r="G504" t="e">
        <f>VLOOKUP(F504,Produtos!A:B,2,FALSE)</f>
        <v>#N/A</v>
      </c>
      <c r="H504" t="s">
        <v>488</v>
      </c>
      <c r="I50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504" s="9" t="str">
        <f>VLOOKUP(Table1[[#This Row],[Área avaliada]],Endereços!A:B,2,0)</f>
        <v>Área Azul</v>
      </c>
      <c r="K504" t="str">
        <f>VLOOKUP(Table1[[#This Row],[Nome do avaliador ]],M:N,2,0)</f>
        <v>B</v>
      </c>
    </row>
    <row r="505" spans="1:11" x14ac:dyDescent="0.3">
      <c r="A505">
        <v>504</v>
      </c>
      <c r="B505" s="1">
        <v>45870.339583333298</v>
      </c>
      <c r="C505" s="1">
        <v>45870.340439814798</v>
      </c>
      <c r="D505" t="s">
        <v>19</v>
      </c>
      <c r="E505" t="s">
        <v>20</v>
      </c>
      <c r="F505" s="2">
        <v>12948</v>
      </c>
      <c r="G505" s="2" t="str">
        <f>VLOOKUP(F505,Produtos!A:B,2,FALSE)</f>
        <v>BRAHMA CHOPP ZERO LATA 350 SH CX C12 NPA</v>
      </c>
      <c r="H505" t="s">
        <v>473</v>
      </c>
      <c r="I5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05" s="9" t="str">
        <f>VLOOKUP(Table1[[#This Row],[Área avaliada]],Endereços!A:B,2,0)</f>
        <v>Área Azul</v>
      </c>
      <c r="K505" t="str">
        <f>VLOOKUP(Table1[[#This Row],[Nome do avaliador ]],M:N,2,0)</f>
        <v>A</v>
      </c>
    </row>
    <row r="506" spans="1:11" x14ac:dyDescent="0.3">
      <c r="A506">
        <v>505</v>
      </c>
      <c r="B506" s="1">
        <v>45870.3424421296</v>
      </c>
      <c r="C506" s="1">
        <v>45870.343101851897</v>
      </c>
      <c r="D506" t="s">
        <v>19</v>
      </c>
      <c r="E506" t="s">
        <v>20</v>
      </c>
      <c r="F506" s="2">
        <v>29580</v>
      </c>
      <c r="G506" s="2" t="str">
        <f>VLOOKUP(F506,Produtos!A:B,2,FALSE)</f>
        <v>STELLA ARTOIS PURE GOLD LN 330 SXP SH C4</v>
      </c>
      <c r="H506" t="s">
        <v>485</v>
      </c>
      <c r="I5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06" s="9" t="str">
        <f>VLOOKUP(Table1[[#This Row],[Área avaliada]],Endereços!A:B,2,0)</f>
        <v>Área Azul</v>
      </c>
      <c r="K506" t="str">
        <f>VLOOKUP(Table1[[#This Row],[Nome do avaliador ]],M:N,2,0)</f>
        <v>A</v>
      </c>
    </row>
    <row r="507" spans="1:11" x14ac:dyDescent="0.3">
      <c r="A507">
        <v>506</v>
      </c>
      <c r="B507" s="1">
        <v>45870.342962962997</v>
      </c>
      <c r="C507" s="1">
        <v>45870.343414351897</v>
      </c>
      <c r="D507" t="s">
        <v>17</v>
      </c>
      <c r="E507" t="s">
        <v>23</v>
      </c>
      <c r="F507" s="2">
        <v>9085</v>
      </c>
      <c r="G507" s="2" t="str">
        <f>VLOOKUP(F507,Produtos!A:B,2,FALSE)</f>
        <v>GUARANA CHP ANTARCT DIET LT350ML SHC/12</v>
      </c>
      <c r="H507" t="s">
        <v>475</v>
      </c>
      <c r="I5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07" s="9" t="str">
        <f>VLOOKUP(Table1[[#This Row],[Área avaliada]],Endereços!A:B,2,0)</f>
        <v>Área Azul</v>
      </c>
      <c r="K507" t="s">
        <v>510</v>
      </c>
    </row>
    <row r="508" spans="1:11" x14ac:dyDescent="0.3">
      <c r="A508">
        <v>507</v>
      </c>
      <c r="B508" s="1">
        <v>45870.3434375</v>
      </c>
      <c r="C508" s="1">
        <v>45870.344143518501</v>
      </c>
      <c r="D508" t="s">
        <v>17</v>
      </c>
      <c r="E508" t="s">
        <v>23</v>
      </c>
      <c r="F508" s="2">
        <v>8921</v>
      </c>
      <c r="G508" s="2" t="str">
        <f>VLOOKUP(F508,Produtos!A:B,2,FALSE)</f>
        <v>GUARANA CHP ANTART DIET PET600ML CX C/12</v>
      </c>
      <c r="H508" t="s">
        <v>482</v>
      </c>
      <c r="I5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08" s="9" t="str">
        <f>VLOOKUP(Table1[[#This Row],[Área avaliada]],Endereços!A:B,2,0)</f>
        <v>Área Azul</v>
      </c>
      <c r="K508" t="s">
        <v>510</v>
      </c>
    </row>
    <row r="509" spans="1:11" x14ac:dyDescent="0.3">
      <c r="A509">
        <v>508</v>
      </c>
      <c r="B509" s="1">
        <v>45870.344178240703</v>
      </c>
      <c r="C509" s="1">
        <v>45870.344675925902</v>
      </c>
      <c r="D509" t="s">
        <v>17</v>
      </c>
      <c r="E509" t="s">
        <v>23</v>
      </c>
      <c r="F509" s="2">
        <v>9089</v>
      </c>
      <c r="G509" s="2" t="str">
        <f>VLOOKUP(F509,Produtos!A:B,2,FALSE)</f>
        <v>SUKITA LATA 350ML SH C/12 NPAL</v>
      </c>
      <c r="H509" t="s">
        <v>475</v>
      </c>
      <c r="I5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09" s="9" t="str">
        <f>VLOOKUP(Table1[[#This Row],[Área avaliada]],Endereços!A:B,2,0)</f>
        <v>Área Azul</v>
      </c>
      <c r="K509" t="s">
        <v>510</v>
      </c>
    </row>
    <row r="510" spans="1:11" x14ac:dyDescent="0.3">
      <c r="A510">
        <v>509</v>
      </c>
      <c r="B510" s="1">
        <v>45870.344699074099</v>
      </c>
      <c r="C510" s="1">
        <v>45870.345381944397</v>
      </c>
      <c r="D510" t="s">
        <v>17</v>
      </c>
      <c r="E510" t="s">
        <v>23</v>
      </c>
      <c r="F510" s="2">
        <v>9081</v>
      </c>
      <c r="G510" s="2" t="str">
        <f>VLOOKUP(F510,Produtos!A:B,2,FALSE)</f>
        <v>MALZBIER BRAHMA LATA 350ML SH C/12 NPAL</v>
      </c>
      <c r="H510" t="s">
        <v>475</v>
      </c>
      <c r="I5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0" s="9" t="str">
        <f>VLOOKUP(Table1[[#This Row],[Área avaliada]],Endereços!A:B,2,0)</f>
        <v>Área Azul</v>
      </c>
      <c r="K510" t="s">
        <v>510</v>
      </c>
    </row>
    <row r="511" spans="1:11" x14ac:dyDescent="0.3">
      <c r="A511">
        <v>510</v>
      </c>
      <c r="B511" s="1">
        <v>45870.344664351796</v>
      </c>
      <c r="C511" s="1">
        <v>45870.345405092601</v>
      </c>
      <c r="D511" t="s">
        <v>19</v>
      </c>
      <c r="E511" t="s">
        <v>23</v>
      </c>
      <c r="F511" s="2">
        <v>13566</v>
      </c>
      <c r="G511" s="2" t="str">
        <f>VLOOKUP(F511,Produtos!A:B,2,FALSE)</f>
        <v>SKOL BEATS SENSES LATA 269ML CX C/8 FRID</v>
      </c>
      <c r="H511" t="s">
        <v>473</v>
      </c>
      <c r="I5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1" s="9" t="str">
        <f>VLOOKUP(Table1[[#This Row],[Área avaliada]],Endereços!A:B,2,0)</f>
        <v>Área Azul</v>
      </c>
      <c r="K511" t="str">
        <f>VLOOKUP(Table1[[#This Row],[Nome do avaliador ]],M:N,2,0)</f>
        <v>A</v>
      </c>
    </row>
    <row r="512" spans="1:11" x14ac:dyDescent="0.3">
      <c r="A512">
        <v>511</v>
      </c>
      <c r="B512" s="1">
        <v>45870.345983796302</v>
      </c>
      <c r="C512" s="1">
        <v>45870.347060185202</v>
      </c>
      <c r="D512" t="s">
        <v>19</v>
      </c>
      <c r="E512" t="s">
        <v>25</v>
      </c>
      <c r="F512" s="2">
        <v>21020</v>
      </c>
      <c r="G512" s="2" t="str">
        <f>VLOOKUP(F512,Produtos!A:B,2,FALSE)</f>
        <v>BUDWEISER LT SLEEK 350ML CX CART C12</v>
      </c>
      <c r="H512" t="s">
        <v>474</v>
      </c>
      <c r="I5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2" s="9" t="str">
        <f>VLOOKUP(Table1[[#This Row],[Área avaliada]],Endereços!A:B,2,0)</f>
        <v>Área Azul</v>
      </c>
      <c r="K512" t="str">
        <f>VLOOKUP(Table1[[#This Row],[Nome do avaliador ]],M:N,2,0)</f>
        <v>A</v>
      </c>
    </row>
    <row r="513" spans="1:11" x14ac:dyDescent="0.3">
      <c r="A513">
        <v>512</v>
      </c>
      <c r="B513" s="1">
        <v>45870.348101851901</v>
      </c>
      <c r="C513" s="1">
        <v>45870.348877314798</v>
      </c>
      <c r="D513" t="s">
        <v>19</v>
      </c>
      <c r="E513" t="s">
        <v>23</v>
      </c>
      <c r="F513" s="2">
        <v>23216</v>
      </c>
      <c r="G513" s="2" t="str">
        <f>VLOOKUP(F513,Produtos!A:B,2,FALSE)</f>
        <v>PATAGONIA IPA LATA 473ML 6PACK CARTAO</v>
      </c>
      <c r="H513" t="s">
        <v>473</v>
      </c>
      <c r="I5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3" s="9" t="str">
        <f>VLOOKUP(Table1[[#This Row],[Área avaliada]],Endereços!A:B,2,0)</f>
        <v>Área Azul</v>
      </c>
      <c r="K513" t="str">
        <f>VLOOKUP(Table1[[#This Row],[Nome do avaliador ]],M:N,2,0)</f>
        <v>A</v>
      </c>
    </row>
    <row r="514" spans="1:11" x14ac:dyDescent="0.3">
      <c r="A514">
        <v>513</v>
      </c>
      <c r="B514" s="1">
        <v>45870.350497685198</v>
      </c>
      <c r="C514" s="1">
        <v>45870.351041666698</v>
      </c>
      <c r="D514" t="s">
        <v>19</v>
      </c>
      <c r="E514" t="s">
        <v>23</v>
      </c>
      <c r="F514" s="2">
        <v>9085</v>
      </c>
      <c r="G514" s="2" t="str">
        <f>VLOOKUP(F514,Produtos!A:B,2,FALSE)</f>
        <v>GUARANA CHP ANTARCT DIET LT350ML SHC/12</v>
      </c>
      <c r="H514" t="s">
        <v>475</v>
      </c>
      <c r="I5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4" s="9" t="str">
        <f>VLOOKUP(Table1[[#This Row],[Área avaliada]],Endereços!A:B,2,0)</f>
        <v>Área Azul</v>
      </c>
      <c r="K514" t="str">
        <f>VLOOKUP(Table1[[#This Row],[Nome do avaliador ]],M:N,2,0)</f>
        <v>A</v>
      </c>
    </row>
    <row r="515" spans="1:11" x14ac:dyDescent="0.3">
      <c r="A515">
        <v>514</v>
      </c>
      <c r="B515" s="1">
        <v>45870.350185185198</v>
      </c>
      <c r="C515" s="1">
        <v>45870.35125</v>
      </c>
      <c r="D515" t="s">
        <v>17</v>
      </c>
      <c r="E515" t="s">
        <v>23</v>
      </c>
      <c r="F515" s="2">
        <v>9096</v>
      </c>
      <c r="G515" s="2" t="str">
        <f>VLOOKUP(F515,Produtos!A:B,2,FALSE)</f>
        <v>PEPSI COLA LATA 350ML SH C/12 NPAL</v>
      </c>
      <c r="H515" t="s">
        <v>475</v>
      </c>
      <c r="I5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5" s="9" t="str">
        <f>VLOOKUP(Table1[[#This Row],[Área avaliada]],Endereços!A:B,2,0)</f>
        <v>Área Azul</v>
      </c>
      <c r="K515" t="s">
        <v>510</v>
      </c>
    </row>
    <row r="516" spans="1:11" x14ac:dyDescent="0.3">
      <c r="A516">
        <v>515</v>
      </c>
      <c r="B516" s="1">
        <v>45870.355127314797</v>
      </c>
      <c r="C516" s="1">
        <v>45870.355694444399</v>
      </c>
      <c r="D516" t="s">
        <v>19</v>
      </c>
      <c r="E516" t="s">
        <v>23</v>
      </c>
      <c r="F516" s="2">
        <v>11191</v>
      </c>
      <c r="G516" s="2" t="str">
        <f>VLOOKUP(F516,Produtos!A:B,2,FALSE)</f>
        <v>LIPTON PESSEGO PET 1,5 SHRINK C/6 HF</v>
      </c>
      <c r="H516" t="s">
        <v>473</v>
      </c>
      <c r="I5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6" s="9" t="str">
        <f>VLOOKUP(Table1[[#This Row],[Área avaliada]],Endereços!A:B,2,0)</f>
        <v>Área Azul</v>
      </c>
      <c r="K516" t="str">
        <f>VLOOKUP(Table1[[#This Row],[Nome do avaliador ]],M:N,2,0)</f>
        <v>A</v>
      </c>
    </row>
    <row r="517" spans="1:11" x14ac:dyDescent="0.3">
      <c r="A517">
        <v>516</v>
      </c>
      <c r="B517" s="1">
        <v>45870.423379629603</v>
      </c>
      <c r="C517" s="1">
        <v>45870.423969907402</v>
      </c>
      <c r="D517" t="s">
        <v>19</v>
      </c>
      <c r="E517" t="s">
        <v>23</v>
      </c>
      <c r="F517" s="2">
        <v>9069</v>
      </c>
      <c r="G517" s="2" t="str">
        <f>VLOOKUP(F517,Produtos!A:B,2,FALSE)</f>
        <v>BRAHMA CHOPP LATA 350ML SH C/12 NPAL</v>
      </c>
      <c r="H517" t="s">
        <v>473</v>
      </c>
      <c r="I5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7" s="9" t="str">
        <f>VLOOKUP(Table1[[#This Row],[Área avaliada]],Endereços!A:B,2,0)</f>
        <v>Área Azul</v>
      </c>
      <c r="K517" t="str">
        <f>VLOOKUP(Table1[[#This Row],[Nome do avaliador ]],M:N,2,0)</f>
        <v>A</v>
      </c>
    </row>
    <row r="518" spans="1:11" x14ac:dyDescent="0.3">
      <c r="A518">
        <v>517</v>
      </c>
      <c r="B518" s="1">
        <v>45870.426979166703</v>
      </c>
      <c r="C518" s="1">
        <v>45870.427650463003</v>
      </c>
      <c r="D518" t="s">
        <v>19</v>
      </c>
      <c r="E518" t="s">
        <v>25</v>
      </c>
      <c r="F518" s="2">
        <v>17797</v>
      </c>
      <c r="G518" s="2" t="str">
        <f>VLOOKUP(F518,Produtos!A:B,2,FALSE)</f>
        <v>BRAHMA CHOPP LATA 350ML SH 18 MULTIPACK</v>
      </c>
      <c r="H518" t="s">
        <v>473</v>
      </c>
      <c r="I5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8" s="9" t="str">
        <f>VLOOKUP(Table1[[#This Row],[Área avaliada]],Endereços!A:B,2,0)</f>
        <v>Área Azul</v>
      </c>
      <c r="K518" t="str">
        <f>VLOOKUP(Table1[[#This Row],[Nome do avaliador ]],M:N,2,0)</f>
        <v>A</v>
      </c>
    </row>
    <row r="519" spans="1:11" x14ac:dyDescent="0.3">
      <c r="A519">
        <v>518</v>
      </c>
      <c r="B519" s="1">
        <v>45870.6505092593</v>
      </c>
      <c r="C519" s="1">
        <v>45870.656712962998</v>
      </c>
      <c r="D519" t="s">
        <v>31</v>
      </c>
      <c r="E519" t="s">
        <v>14</v>
      </c>
      <c r="G519" t="e">
        <f>VLOOKUP(F519,Produtos!A:B,2,FALSE)</f>
        <v>#N/A</v>
      </c>
      <c r="I5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9" s="9" t="str">
        <f>VLOOKUP(Table1[[#This Row],[Área avaliada]],Endereços!A:B,2,0)</f>
        <v>Picking Baixo Giro</v>
      </c>
      <c r="K519" t="str">
        <f>VLOOKUP(Table1[[#This Row],[Nome do avaliador ]],M:N,2,0)</f>
        <v>B</v>
      </c>
    </row>
    <row r="520" spans="1:11" x14ac:dyDescent="0.3">
      <c r="A520">
        <v>519</v>
      </c>
      <c r="B520" s="1">
        <v>45870.925416666701</v>
      </c>
      <c r="C520" s="1">
        <v>45870.931562500002</v>
      </c>
      <c r="D520" t="s">
        <v>28</v>
      </c>
      <c r="E520" t="s">
        <v>14</v>
      </c>
      <c r="G520" t="e">
        <f>VLOOKUP(F520,Produtos!A:B,2,FALSE)</f>
        <v>#N/A</v>
      </c>
      <c r="H520" t="s">
        <v>479</v>
      </c>
      <c r="I5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0" s="9" t="str">
        <f>VLOOKUP(Table1[[#This Row],[Área avaliada]],Endereços!A:B,2,0)</f>
        <v>Picking Baixo Giro</v>
      </c>
      <c r="K520" t="str">
        <f>VLOOKUP(Table1[[#This Row],[Nome do avaliador ]],M:N,2,0)</f>
        <v>A</v>
      </c>
    </row>
    <row r="521" spans="1:11" x14ac:dyDescent="0.3">
      <c r="A521">
        <v>520</v>
      </c>
      <c r="B521" s="1">
        <v>45871.262025463002</v>
      </c>
      <c r="C521" s="1">
        <v>45871.262638888897</v>
      </c>
      <c r="D521" t="s">
        <v>17</v>
      </c>
      <c r="E521" t="s">
        <v>23</v>
      </c>
      <c r="F521" s="2">
        <v>17725</v>
      </c>
      <c r="G521" s="2" t="str">
        <f>VLOOKUP(F521,Produtos!A:B,2,FALSE)</f>
        <v>ANTARCTICA PILSEN LT 350ML SH C/18 MULTP</v>
      </c>
      <c r="H521" t="s">
        <v>475</v>
      </c>
      <c r="I5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1" s="9" t="str">
        <f>VLOOKUP(Table1[[#This Row],[Área avaliada]],Endereços!A:B,2,0)</f>
        <v>Área Azul</v>
      </c>
      <c r="K521" t="s">
        <v>510</v>
      </c>
    </row>
    <row r="522" spans="1:11" x14ac:dyDescent="0.3">
      <c r="A522">
        <v>521</v>
      </c>
      <c r="B522" s="1">
        <v>45871.265335648102</v>
      </c>
      <c r="C522" s="1">
        <v>45871.265844907401</v>
      </c>
      <c r="D522" t="s">
        <v>17</v>
      </c>
      <c r="E522" t="s">
        <v>23</v>
      </c>
      <c r="F522" s="2">
        <v>20072</v>
      </c>
      <c r="G522" s="2" t="str">
        <f>VLOOKUP(F522,Produtos!A:B,2,FALSE)</f>
        <v>BECKS N LT SLEEK 350ML C 8 CX CART</v>
      </c>
      <c r="H522" t="s">
        <v>475</v>
      </c>
      <c r="I5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2" s="9" t="str">
        <f>VLOOKUP(Table1[[#This Row],[Área avaliada]],Endereços!A:B,2,0)</f>
        <v>Área Azul</v>
      </c>
      <c r="K522" t="s">
        <v>510</v>
      </c>
    </row>
    <row r="523" spans="1:11" x14ac:dyDescent="0.3">
      <c r="A523">
        <v>522</v>
      </c>
      <c r="B523" s="1">
        <v>45871.268333333297</v>
      </c>
      <c r="C523" s="1">
        <v>45871.268842592603</v>
      </c>
      <c r="D523" t="s">
        <v>17</v>
      </c>
      <c r="E523" t="s">
        <v>23</v>
      </c>
      <c r="F523" s="2">
        <v>9081</v>
      </c>
      <c r="G523" s="2" t="str">
        <f>VLOOKUP(F523,Produtos!A:B,2,FALSE)</f>
        <v>MALZBIER BRAHMA LATA 350ML SH C/12 NPAL</v>
      </c>
      <c r="H523" t="s">
        <v>475</v>
      </c>
      <c r="I5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3" s="9" t="str">
        <f>VLOOKUP(Table1[[#This Row],[Área avaliada]],Endereços!A:B,2,0)</f>
        <v>Área Azul</v>
      </c>
      <c r="K523" t="s">
        <v>510</v>
      </c>
    </row>
    <row r="524" spans="1:11" x14ac:dyDescent="0.3">
      <c r="A524">
        <v>523</v>
      </c>
      <c r="B524" s="1">
        <v>45871.3828125</v>
      </c>
      <c r="C524" s="1">
        <v>45871.383518518502</v>
      </c>
      <c r="D524" t="s">
        <v>19</v>
      </c>
      <c r="E524" t="s">
        <v>23</v>
      </c>
      <c r="F524" s="2">
        <v>9069</v>
      </c>
      <c r="G524" s="2" t="str">
        <f>VLOOKUP(F524,Produtos!A:B,2,FALSE)</f>
        <v>BRAHMA CHOPP LATA 350ML SH C/12 NPAL</v>
      </c>
      <c r="H524" t="s">
        <v>473</v>
      </c>
      <c r="I5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4" s="9" t="str">
        <f>VLOOKUP(Table1[[#This Row],[Área avaliada]],Endereços!A:B,2,0)</f>
        <v>Área Azul</v>
      </c>
      <c r="K524" t="str">
        <f>VLOOKUP(Table1[[#This Row],[Nome do avaliador ]],M:N,2,0)</f>
        <v>A</v>
      </c>
    </row>
    <row r="525" spans="1:11" x14ac:dyDescent="0.3">
      <c r="A525">
        <v>524</v>
      </c>
      <c r="B525" s="1">
        <v>45871.3844791667</v>
      </c>
      <c r="C525" s="1">
        <v>45871.385011574101</v>
      </c>
      <c r="D525" t="s">
        <v>19</v>
      </c>
      <c r="E525" t="s">
        <v>23</v>
      </c>
      <c r="F525" s="2">
        <v>9084</v>
      </c>
      <c r="G525" s="2" t="str">
        <f>VLOOKUP(F525,Produtos!A:B,2,FALSE)</f>
        <v>GUARANA CHP ANTARCT LT350ML SH C/12 NPAL</v>
      </c>
      <c r="H525" t="s">
        <v>473</v>
      </c>
      <c r="I5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5" s="9" t="str">
        <f>VLOOKUP(Table1[[#This Row],[Área avaliada]],Endereços!A:B,2,0)</f>
        <v>Área Azul</v>
      </c>
      <c r="K525" t="str">
        <f>VLOOKUP(Table1[[#This Row],[Nome do avaliador ]],M:N,2,0)</f>
        <v>A</v>
      </c>
    </row>
    <row r="526" spans="1:11" x14ac:dyDescent="0.3">
      <c r="A526">
        <v>525</v>
      </c>
      <c r="B526" s="1">
        <v>45871.387407407397</v>
      </c>
      <c r="C526" s="1">
        <v>45871.387962963003</v>
      </c>
      <c r="D526" t="s">
        <v>19</v>
      </c>
      <c r="E526" t="s">
        <v>25</v>
      </c>
      <c r="F526" s="2">
        <v>19310</v>
      </c>
      <c r="G526" s="2" t="str">
        <f>VLOOKUP(F526,Produtos!A:B,2,FALSE)</f>
        <v>ORIGINAL LATA 350ML CX CARTAO C/12 NPAL</v>
      </c>
      <c r="H526" t="s">
        <v>473</v>
      </c>
      <c r="I5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6" s="9" t="str">
        <f>VLOOKUP(Table1[[#This Row],[Área avaliada]],Endereços!A:B,2,0)</f>
        <v>Área Azul</v>
      </c>
      <c r="K526" t="str">
        <f>VLOOKUP(Table1[[#This Row],[Nome do avaliador ]],M:N,2,0)</f>
        <v>A</v>
      </c>
    </row>
    <row r="527" spans="1:11" x14ac:dyDescent="0.3">
      <c r="A527">
        <v>526</v>
      </c>
      <c r="B527" s="1">
        <v>45871.389085648101</v>
      </c>
      <c r="C527" s="1">
        <v>45871.389618055597</v>
      </c>
      <c r="D527" t="s">
        <v>19</v>
      </c>
      <c r="E527" t="s">
        <v>25</v>
      </c>
      <c r="F527" s="2">
        <v>9084</v>
      </c>
      <c r="G527" s="2" t="str">
        <f>VLOOKUP(F527,Produtos!A:B,2,FALSE)</f>
        <v>GUARANA CHP ANTARCT LT350ML SH C/12 NPAL</v>
      </c>
      <c r="H527" t="s">
        <v>473</v>
      </c>
      <c r="I5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7" s="9" t="str">
        <f>VLOOKUP(Table1[[#This Row],[Área avaliada]],Endereços!A:B,2,0)</f>
        <v>Área Azul</v>
      </c>
      <c r="K527" t="str">
        <f>VLOOKUP(Table1[[#This Row],[Nome do avaliador ]],M:N,2,0)</f>
        <v>A</v>
      </c>
    </row>
    <row r="528" spans="1:11" x14ac:dyDescent="0.3">
      <c r="A528">
        <v>527</v>
      </c>
      <c r="B528" s="1">
        <v>45871.547245370399</v>
      </c>
      <c r="C528" s="1">
        <v>45871.547881944403</v>
      </c>
      <c r="D528" t="s">
        <v>7</v>
      </c>
      <c r="E528" t="s">
        <v>32</v>
      </c>
      <c r="G528" t="e">
        <f>VLOOKUP(F528,Produtos!A:B,2,FALSE)</f>
        <v>#N/A</v>
      </c>
      <c r="H528" t="s">
        <v>477</v>
      </c>
      <c r="I5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8" s="9" t="str">
        <f>VLOOKUP(Table1[[#This Row],[Área avaliada]],Endereços!A:B,2,0)</f>
        <v>Área Vermelho</v>
      </c>
      <c r="K528" t="str">
        <f>VLOOKUP(Table1[[#This Row],[Nome do avaliador ]],M:N,2,0)</f>
        <v>A</v>
      </c>
    </row>
    <row r="529" spans="1:11" x14ac:dyDescent="0.3">
      <c r="A529">
        <v>528</v>
      </c>
      <c r="B529" s="1">
        <v>45871.805219907401</v>
      </c>
      <c r="C529" s="1">
        <v>45871.805706018502</v>
      </c>
      <c r="D529" t="s">
        <v>21</v>
      </c>
      <c r="E529" t="s">
        <v>14</v>
      </c>
      <c r="G529" t="e">
        <f>VLOOKUP(F529,Produtos!A:B,2,FALSE)</f>
        <v>#N/A</v>
      </c>
      <c r="H529" t="s">
        <v>477</v>
      </c>
      <c r="I5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9" s="9" t="str">
        <f>VLOOKUP(Table1[[#This Row],[Área avaliada]],Endereços!A:B,2,0)</f>
        <v>Picking Baixo Giro</v>
      </c>
      <c r="K529" t="str">
        <f>VLOOKUP(Table1[[#This Row],[Nome do avaliador ]],M:N,2,0)</f>
        <v>B</v>
      </c>
    </row>
    <row r="530" spans="1:11" x14ac:dyDescent="0.3">
      <c r="A530">
        <v>529</v>
      </c>
      <c r="B530" s="1">
        <v>45873.470960648097</v>
      </c>
      <c r="C530" s="1">
        <v>45873.471608796302</v>
      </c>
      <c r="D530" t="s">
        <v>17</v>
      </c>
      <c r="E530" t="s">
        <v>23</v>
      </c>
      <c r="F530" s="2">
        <v>17797</v>
      </c>
      <c r="G530" s="2" t="str">
        <f>VLOOKUP(F530,Produtos!A:B,2,FALSE)</f>
        <v>BRAHMA CHOPP LATA 350ML SH 18 MULTIPACK</v>
      </c>
      <c r="H530" t="s">
        <v>475</v>
      </c>
      <c r="I5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0" s="9" t="str">
        <f>VLOOKUP(Table1[[#This Row],[Área avaliada]],Endereços!A:B,2,0)</f>
        <v>Área Azul</v>
      </c>
      <c r="K530" t="s">
        <v>510</v>
      </c>
    </row>
    <row r="531" spans="1:11" x14ac:dyDescent="0.3">
      <c r="A531">
        <v>530</v>
      </c>
      <c r="B531" s="1">
        <v>45873.471631944398</v>
      </c>
      <c r="C531" s="1">
        <v>45873.472256944398</v>
      </c>
      <c r="D531" t="s">
        <v>17</v>
      </c>
      <c r="E531" t="s">
        <v>25</v>
      </c>
      <c r="F531" s="2">
        <v>19729</v>
      </c>
      <c r="G531" s="2" t="str">
        <f>VLOOKUP(F531,Produtos!A:B,2,FALSE)</f>
        <v>STELLA ARTOIS LT SLEEK 350ML C 8 CX CART</v>
      </c>
      <c r="H531" t="s">
        <v>475</v>
      </c>
      <c r="I5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1" s="9" t="str">
        <f>VLOOKUP(Table1[[#This Row],[Área avaliada]],Endereços!A:B,2,0)</f>
        <v>Área Azul</v>
      </c>
      <c r="K531" t="s">
        <v>510</v>
      </c>
    </row>
    <row r="532" spans="1:11" x14ac:dyDescent="0.3">
      <c r="A532">
        <v>531</v>
      </c>
      <c r="B532" s="1">
        <v>45873.472280092603</v>
      </c>
      <c r="C532" s="1">
        <v>45873.472951388903</v>
      </c>
      <c r="D532" t="s">
        <v>17</v>
      </c>
      <c r="E532" t="s">
        <v>20</v>
      </c>
      <c r="F532" s="2">
        <v>9320</v>
      </c>
      <c r="G532" s="2" t="str">
        <f>VLOOKUP(F532,Produtos!A:B,2,FALSE)</f>
        <v>BRAHMA CHOPP LT 473ML SH C/12 NPAL</v>
      </c>
      <c r="H532" t="s">
        <v>475</v>
      </c>
      <c r="I5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2" s="9" t="str">
        <f>VLOOKUP(Table1[[#This Row],[Área avaliada]],Endereços!A:B,2,0)</f>
        <v>Área Azul</v>
      </c>
      <c r="K532" t="s">
        <v>510</v>
      </c>
    </row>
    <row r="533" spans="1:11" x14ac:dyDescent="0.3">
      <c r="A533">
        <v>532</v>
      </c>
      <c r="B533" s="1">
        <v>45873.886516203696</v>
      </c>
      <c r="C533" s="1">
        <v>45873.887372685203</v>
      </c>
      <c r="D533" t="s">
        <v>21</v>
      </c>
      <c r="E533" t="s">
        <v>15</v>
      </c>
      <c r="G533" t="e">
        <f>VLOOKUP(F533,Produtos!A:B,2,FALSE)</f>
        <v>#N/A</v>
      </c>
      <c r="H533" t="s">
        <v>477</v>
      </c>
      <c r="I5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3" s="9" t="str">
        <f>VLOOKUP(Table1[[#This Row],[Área avaliada]],Endereços!A:B,2,0)</f>
        <v>Picking Alto Giro</v>
      </c>
      <c r="K533" t="str">
        <f>VLOOKUP(Table1[[#This Row],[Nome do avaliador ]],M:N,2,0)</f>
        <v>B</v>
      </c>
    </row>
    <row r="534" spans="1:11" x14ac:dyDescent="0.3">
      <c r="A534">
        <v>533</v>
      </c>
      <c r="B534" s="1">
        <v>45874.200115740699</v>
      </c>
      <c r="C534" s="1">
        <v>45874.2020486111</v>
      </c>
      <c r="D534" t="s">
        <v>26</v>
      </c>
      <c r="E534" t="s">
        <v>25</v>
      </c>
      <c r="G534" t="e">
        <f>VLOOKUP(F534,Produtos!A:B,2,FALSE)</f>
        <v>#N/A</v>
      </c>
      <c r="H534" t="s">
        <v>477</v>
      </c>
      <c r="I5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4" s="9" t="str">
        <f>VLOOKUP(Table1[[#This Row],[Área avaliada]],Endereços!A:B,2,0)</f>
        <v>Área Azul</v>
      </c>
      <c r="K534" t="str">
        <f>VLOOKUP(Table1[[#This Row],[Nome do avaliador ]],M:N,2,0)</f>
        <v>C</v>
      </c>
    </row>
    <row r="535" spans="1:11" x14ac:dyDescent="0.3">
      <c r="A535">
        <v>534</v>
      </c>
      <c r="B535" s="1">
        <v>45874.204074074099</v>
      </c>
      <c r="C535" s="1">
        <v>45874.2054166667</v>
      </c>
      <c r="D535" t="s">
        <v>26</v>
      </c>
      <c r="E535" t="s">
        <v>15</v>
      </c>
      <c r="F535" s="2">
        <v>9084</v>
      </c>
      <c r="G535" s="2" t="str">
        <f>VLOOKUP(F535,Produtos!A:B,2,FALSE)</f>
        <v>GUARANA CHP ANTARCT LT350ML SH C/12 NPAL</v>
      </c>
      <c r="H535" t="s">
        <v>475</v>
      </c>
      <c r="I5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5" s="9" t="str">
        <f>VLOOKUP(Table1[[#This Row],[Área avaliada]],Endereços!A:B,2,0)</f>
        <v>Picking Alto Giro</v>
      </c>
      <c r="K535" t="str">
        <f>VLOOKUP(Table1[[#This Row],[Nome do avaliador ]],M:N,2,0)</f>
        <v>C</v>
      </c>
    </row>
    <row r="536" spans="1:11" x14ac:dyDescent="0.3">
      <c r="A536">
        <v>535</v>
      </c>
      <c r="B536" s="1">
        <v>45874.205486111103</v>
      </c>
      <c r="C536" s="1">
        <v>45874.207222222198</v>
      </c>
      <c r="D536" t="s">
        <v>26</v>
      </c>
      <c r="E536" t="s">
        <v>15</v>
      </c>
      <c r="G536" t="e">
        <f>VLOOKUP(F536,Produtos!A:B,2,FALSE)</f>
        <v>#N/A</v>
      </c>
      <c r="H536" t="s">
        <v>477</v>
      </c>
      <c r="I5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6" s="9" t="str">
        <f>VLOOKUP(Table1[[#This Row],[Área avaliada]],Endereços!A:B,2,0)</f>
        <v>Picking Alto Giro</v>
      </c>
      <c r="K536" t="str">
        <f>VLOOKUP(Table1[[#This Row],[Nome do avaliador ]],M:N,2,0)</f>
        <v>C</v>
      </c>
    </row>
    <row r="537" spans="1:11" x14ac:dyDescent="0.3">
      <c r="A537">
        <v>536</v>
      </c>
      <c r="B537" s="1">
        <v>45874.328414351803</v>
      </c>
      <c r="C537" s="1">
        <v>45874.329039351796</v>
      </c>
      <c r="D537" t="s">
        <v>19</v>
      </c>
      <c r="E537" t="s">
        <v>23</v>
      </c>
      <c r="F537" s="2">
        <v>18137</v>
      </c>
      <c r="G537" s="2" t="str">
        <f>VLOOKUP(F537,Produtos!A:B,2,FALSE)</f>
        <v>GUARANA CHP ANTARCTICA PET 3L C4 SH LISO</v>
      </c>
      <c r="H537" t="s">
        <v>474</v>
      </c>
      <c r="I5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7" s="9" t="str">
        <f>VLOOKUP(Table1[[#This Row],[Área avaliada]],Endereços!A:B,2,0)</f>
        <v>Área Azul</v>
      </c>
      <c r="K537" t="str">
        <f>VLOOKUP(Table1[[#This Row],[Nome do avaliador ]],M:N,2,0)</f>
        <v>A</v>
      </c>
    </row>
    <row r="538" spans="1:11" x14ac:dyDescent="0.3">
      <c r="A538">
        <v>537</v>
      </c>
      <c r="B538" s="1">
        <v>45874.330462963</v>
      </c>
      <c r="C538" s="1">
        <v>45874.330960648098</v>
      </c>
      <c r="D538" t="s">
        <v>19</v>
      </c>
      <c r="E538" t="s">
        <v>23</v>
      </c>
      <c r="F538" s="2">
        <v>9096</v>
      </c>
      <c r="G538" s="2" t="str">
        <f>VLOOKUP(F538,Produtos!A:B,2,FALSE)</f>
        <v>PEPSI COLA LATA 350ML SH C/12 NPAL</v>
      </c>
      <c r="H538" t="s">
        <v>473</v>
      </c>
      <c r="I5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8" s="9" t="str">
        <f>VLOOKUP(Table1[[#This Row],[Área avaliada]],Endereços!A:B,2,0)</f>
        <v>Área Azul</v>
      </c>
      <c r="K538" t="str">
        <f>VLOOKUP(Table1[[#This Row],[Nome do avaliador ]],M:N,2,0)</f>
        <v>A</v>
      </c>
    </row>
    <row r="539" spans="1:11" x14ac:dyDescent="0.3">
      <c r="A539">
        <v>538</v>
      </c>
      <c r="B539" s="1">
        <v>45874.332546296297</v>
      </c>
      <c r="C539" s="1">
        <v>45874.333055555602</v>
      </c>
      <c r="D539" t="s">
        <v>19</v>
      </c>
      <c r="E539" t="s">
        <v>23</v>
      </c>
      <c r="F539" s="2">
        <v>32349</v>
      </c>
      <c r="G539" s="2" t="str">
        <f>VLOOKUP(F539,Produtos!A:B,2,FALSE)</f>
        <v>BEATS TROPICAL LT 269ML CX CARTAO C/8 NP</v>
      </c>
      <c r="H539" t="s">
        <v>473</v>
      </c>
      <c r="I5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9" s="9" t="str">
        <f>VLOOKUP(Table1[[#This Row],[Área avaliada]],Endereços!A:B,2,0)</f>
        <v>Área Azul</v>
      </c>
      <c r="K539" t="str">
        <f>VLOOKUP(Table1[[#This Row],[Nome do avaliador ]],M:N,2,0)</f>
        <v>A</v>
      </c>
    </row>
    <row r="540" spans="1:11" x14ac:dyDescent="0.3">
      <c r="A540">
        <v>539</v>
      </c>
      <c r="B540" s="1">
        <v>45874.335057870398</v>
      </c>
      <c r="C540" s="1">
        <v>45874.335868055598</v>
      </c>
      <c r="D540" t="s">
        <v>19</v>
      </c>
      <c r="E540" t="s">
        <v>23</v>
      </c>
      <c r="F540" s="2">
        <v>9067</v>
      </c>
      <c r="G540" s="2" t="str">
        <f>VLOOKUP(F540,Produtos!A:B,2,FALSE)</f>
        <v>ANTARCTICA PILSEN LATA 350ML SH C/12 NPA</v>
      </c>
      <c r="H540" t="s">
        <v>473</v>
      </c>
      <c r="I5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0" s="9" t="str">
        <f>VLOOKUP(Table1[[#This Row],[Área avaliada]],Endereços!A:B,2,0)</f>
        <v>Área Azul</v>
      </c>
      <c r="K540" t="str">
        <f>VLOOKUP(Table1[[#This Row],[Nome do avaliador ]],M:N,2,0)</f>
        <v>A</v>
      </c>
    </row>
    <row r="541" spans="1:11" x14ac:dyDescent="0.3">
      <c r="A541">
        <v>540</v>
      </c>
      <c r="B541" s="1">
        <v>45874.429305555597</v>
      </c>
      <c r="C541" s="1">
        <v>45874.4301851852</v>
      </c>
      <c r="D541" t="s">
        <v>17</v>
      </c>
      <c r="E541" t="s">
        <v>23</v>
      </c>
      <c r="F541" s="2">
        <v>29485</v>
      </c>
      <c r="G541" s="2" t="str">
        <f>VLOOKUP(F541,Produtos!A:B,2,FALSE)</f>
        <v>SKOL BEATS CAIPIRINHA LN 269ML SXP SH C4</v>
      </c>
      <c r="H541" t="s">
        <v>475</v>
      </c>
      <c r="I5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1" s="9" t="str">
        <f>VLOOKUP(Table1[[#This Row],[Área avaliada]],Endereços!A:B,2,0)</f>
        <v>Área Azul</v>
      </c>
      <c r="K541" t="s">
        <v>510</v>
      </c>
    </row>
    <row r="542" spans="1:11" x14ac:dyDescent="0.3">
      <c r="A542">
        <v>541</v>
      </c>
      <c r="B542" s="1">
        <v>45874.430208333302</v>
      </c>
      <c r="C542" s="1">
        <v>45874.430706018502</v>
      </c>
      <c r="D542" t="s">
        <v>17</v>
      </c>
      <c r="E542" t="s">
        <v>23</v>
      </c>
      <c r="F542" s="2">
        <v>9093</v>
      </c>
      <c r="G542" s="2" t="str">
        <f>VLOOKUP(F542,Produtos!A:B,2,FALSE)</f>
        <v>PEPSI TWIST LATA 350ML SH C/12 NPAL</v>
      </c>
      <c r="H542" t="s">
        <v>475</v>
      </c>
      <c r="I5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2" s="9" t="str">
        <f>VLOOKUP(Table1[[#This Row],[Área avaliada]],Endereços!A:B,2,0)</f>
        <v>Área Azul</v>
      </c>
      <c r="K542" t="s">
        <v>510</v>
      </c>
    </row>
    <row r="543" spans="1:11" x14ac:dyDescent="0.3">
      <c r="A543">
        <v>542</v>
      </c>
      <c r="B543" s="1">
        <v>45874.434189814798</v>
      </c>
      <c r="C543" s="1">
        <v>45874.4347106481</v>
      </c>
      <c r="D543" t="s">
        <v>17</v>
      </c>
      <c r="E543" t="s">
        <v>25</v>
      </c>
      <c r="F543" s="2">
        <v>17797</v>
      </c>
      <c r="G543" s="2" t="str">
        <f>VLOOKUP(F543,Produtos!A:B,2,FALSE)</f>
        <v>BRAHMA CHOPP LATA 350ML SH 18 MULTIPACK</v>
      </c>
      <c r="H543" t="s">
        <v>475</v>
      </c>
      <c r="I5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3" s="9" t="str">
        <f>VLOOKUP(Table1[[#This Row],[Área avaliada]],Endereços!A:B,2,0)</f>
        <v>Área Azul</v>
      </c>
      <c r="K543" t="s">
        <v>510</v>
      </c>
    </row>
    <row r="544" spans="1:11" x14ac:dyDescent="0.3">
      <c r="A544">
        <v>543</v>
      </c>
      <c r="B544" s="1">
        <v>45874.452291666697</v>
      </c>
      <c r="C544" s="1">
        <v>45874.453298611101</v>
      </c>
      <c r="D544" t="s">
        <v>28</v>
      </c>
      <c r="E544" t="s">
        <v>15</v>
      </c>
      <c r="G544" t="e">
        <f>VLOOKUP(F544,Produtos!A:B,2,FALSE)</f>
        <v>#N/A</v>
      </c>
      <c r="H544" t="s">
        <v>481</v>
      </c>
      <c r="I5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4" s="9" t="str">
        <f>VLOOKUP(Table1[[#This Row],[Área avaliada]],Endereços!A:B,2,0)</f>
        <v>Picking Alto Giro</v>
      </c>
      <c r="K544" t="str">
        <f>VLOOKUP(Table1[[#This Row],[Nome do avaliador ]],M:N,2,0)</f>
        <v>A</v>
      </c>
    </row>
    <row r="545" spans="1:11" x14ac:dyDescent="0.3">
      <c r="A545">
        <v>544</v>
      </c>
      <c r="B545" s="1">
        <v>45874.454236111102</v>
      </c>
      <c r="C545" s="1">
        <v>45874.454513888901</v>
      </c>
      <c r="D545" t="s">
        <v>19</v>
      </c>
      <c r="E545" t="s">
        <v>12</v>
      </c>
      <c r="F545" s="2">
        <v>34133</v>
      </c>
      <c r="G545" s="2" t="str">
        <f>VLOOKUP(F545,Produtos!A:B,2,FALSE)</f>
        <v>RED BULL SUM MAR E MELAO LT 250ML CX C24</v>
      </c>
      <c r="H545" t="s">
        <v>473</v>
      </c>
      <c r="I5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5" s="9" t="str">
        <f>VLOOKUP(Table1[[#This Row],[Área avaliada]],Endereços!A:B,2,0)</f>
        <v>Área Verde</v>
      </c>
      <c r="K545" t="str">
        <f>VLOOKUP(Table1[[#This Row],[Nome do avaliador ]],M:N,2,0)</f>
        <v>A</v>
      </c>
    </row>
    <row r="546" spans="1:11" x14ac:dyDescent="0.3">
      <c r="A546">
        <v>545</v>
      </c>
      <c r="B546" s="1">
        <v>45875.3212152778</v>
      </c>
      <c r="C546" s="1">
        <v>45875.321851851797</v>
      </c>
      <c r="D546" t="s">
        <v>19</v>
      </c>
      <c r="E546" t="s">
        <v>20</v>
      </c>
      <c r="F546" s="2">
        <v>9071</v>
      </c>
      <c r="G546" s="2" t="str">
        <f>VLOOKUP(F546,Produtos!A:B,2,FALSE)</f>
        <v>CARACU LATA 350ML SH C/12 NPAL</v>
      </c>
      <c r="H546" t="s">
        <v>473</v>
      </c>
      <c r="I5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6" s="9" t="str">
        <f>VLOOKUP(Table1[[#This Row],[Área avaliada]],Endereços!A:B,2,0)</f>
        <v>Área Azul</v>
      </c>
      <c r="K546" t="str">
        <f>VLOOKUP(Table1[[#This Row],[Nome do avaliador ]],M:N,2,0)</f>
        <v>A</v>
      </c>
    </row>
    <row r="547" spans="1:11" x14ac:dyDescent="0.3">
      <c r="A547">
        <v>546</v>
      </c>
      <c r="B547" s="1">
        <v>45875.3226041667</v>
      </c>
      <c r="C547" s="1">
        <v>45875.323229166701</v>
      </c>
      <c r="D547" t="s">
        <v>17</v>
      </c>
      <c r="E547" t="s">
        <v>33</v>
      </c>
      <c r="F547" s="2">
        <v>1166</v>
      </c>
      <c r="G547" s="2" t="str">
        <f>VLOOKUP(F547,Produtos!A:B,2,FALSE)</f>
        <v>SUKITA UVA PET 2L CAIXA C/6</v>
      </c>
      <c r="H547" t="s">
        <v>475</v>
      </c>
      <c r="I5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7" s="9" t="str">
        <f>VLOOKUP(Table1[[#This Row],[Área avaliada]],Endereços!A:B,2,0)</f>
        <v>Área Verde</v>
      </c>
      <c r="K547" t="s">
        <v>510</v>
      </c>
    </row>
    <row r="548" spans="1:11" x14ac:dyDescent="0.3">
      <c r="A548">
        <v>547</v>
      </c>
      <c r="B548" s="1">
        <v>45875.3226041667</v>
      </c>
      <c r="C548" s="1">
        <v>45875.323240740698</v>
      </c>
      <c r="D548" t="s">
        <v>17</v>
      </c>
      <c r="E548" t="s">
        <v>33</v>
      </c>
      <c r="F548" s="2">
        <v>1166</v>
      </c>
      <c r="G548" s="2" t="str">
        <f>VLOOKUP(F548,Produtos!A:B,2,FALSE)</f>
        <v>SUKITA UVA PET 2L CAIXA C/6</v>
      </c>
      <c r="H548" t="s">
        <v>475</v>
      </c>
      <c r="I5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8" s="9" t="str">
        <f>VLOOKUP(Table1[[#This Row],[Área avaliada]],Endereços!A:B,2,0)</f>
        <v>Área Verde</v>
      </c>
      <c r="K548" t="s">
        <v>510</v>
      </c>
    </row>
    <row r="549" spans="1:11" x14ac:dyDescent="0.3">
      <c r="A549">
        <v>548</v>
      </c>
      <c r="B549" s="1">
        <v>45875.321990740696</v>
      </c>
      <c r="C549" s="1">
        <v>45875.323726851799</v>
      </c>
      <c r="D549" t="s">
        <v>19</v>
      </c>
      <c r="E549" t="s">
        <v>20</v>
      </c>
      <c r="F549" s="2">
        <v>9084</v>
      </c>
      <c r="G549" s="2" t="str">
        <f>VLOOKUP(F549,Produtos!A:B,2,FALSE)</f>
        <v>GUARANA CHP ANTARCT LT350ML SH C/12 NPAL</v>
      </c>
      <c r="H549" t="s">
        <v>473</v>
      </c>
      <c r="I5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9" s="9" t="str">
        <f>VLOOKUP(Table1[[#This Row],[Área avaliada]],Endereços!A:B,2,0)</f>
        <v>Área Azul</v>
      </c>
      <c r="K549" t="str">
        <f>VLOOKUP(Table1[[#This Row],[Nome do avaliador ]],M:N,2,0)</f>
        <v>A</v>
      </c>
    </row>
    <row r="550" spans="1:11" x14ac:dyDescent="0.3">
      <c r="A550">
        <v>549</v>
      </c>
      <c r="B550" s="1">
        <v>45875.336168981499</v>
      </c>
      <c r="C550" s="1">
        <v>45875.336817129602</v>
      </c>
      <c r="D550" t="s">
        <v>19</v>
      </c>
      <c r="E550" t="s">
        <v>23</v>
      </c>
      <c r="F550" s="2">
        <v>24168</v>
      </c>
      <c r="G550" s="2" t="str">
        <f>VLOOKUP(F550,Produtos!A:B,2,FALSE)</f>
        <v>MICHELOB ULTRA N LN 330ML SP SH C/4</v>
      </c>
      <c r="H550" t="s">
        <v>482</v>
      </c>
      <c r="I5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0" s="9" t="str">
        <f>VLOOKUP(Table1[[#This Row],[Área avaliada]],Endereços!A:B,2,0)</f>
        <v>Área Azul</v>
      </c>
      <c r="K550" t="str">
        <f>VLOOKUP(Table1[[#This Row],[Nome do avaliador ]],M:N,2,0)</f>
        <v>A</v>
      </c>
    </row>
    <row r="551" spans="1:11" x14ac:dyDescent="0.3">
      <c r="A551">
        <v>550</v>
      </c>
      <c r="B551" s="1">
        <v>45875.336875000001</v>
      </c>
      <c r="C551" s="1">
        <v>45875.337546296301</v>
      </c>
      <c r="D551" t="s">
        <v>19</v>
      </c>
      <c r="E551" t="s">
        <v>23</v>
      </c>
      <c r="F551" s="2">
        <v>371</v>
      </c>
      <c r="G551" s="2" t="str">
        <f>VLOOKUP(F551,Produtos!A:B,2,FALSE)</f>
        <v>MALZBIER BRAHMA LN355ML SIX PAC BAND C/4</v>
      </c>
      <c r="H551" t="s">
        <v>475</v>
      </c>
      <c r="I5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1" s="9" t="str">
        <f>VLOOKUP(Table1[[#This Row],[Área avaliada]],Endereços!A:B,2,0)</f>
        <v>Área Azul</v>
      </c>
      <c r="K551" t="str">
        <f>VLOOKUP(Table1[[#This Row],[Nome do avaliador ]],M:N,2,0)</f>
        <v>A</v>
      </c>
    </row>
    <row r="552" spans="1:11" x14ac:dyDescent="0.3">
      <c r="A552">
        <v>551</v>
      </c>
      <c r="B552" s="1">
        <v>45875.433587963002</v>
      </c>
      <c r="C552" s="1">
        <v>45875.4352083333</v>
      </c>
      <c r="D552" t="s">
        <v>28</v>
      </c>
      <c r="E552" t="s">
        <v>23</v>
      </c>
      <c r="F552" s="2">
        <v>24608</v>
      </c>
      <c r="G552" s="2" t="str">
        <f>VLOOKUP(F552,Produtos!A:B,2,FALSE)</f>
        <v>SAN PELLEGRINO COM GAS GARRAFA VD 505 ML CX 24</v>
      </c>
      <c r="H552" t="s">
        <v>478</v>
      </c>
      <c r="I55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2" s="9" t="str">
        <f>VLOOKUP(Table1[[#This Row],[Área avaliada]],Endereços!A:B,2,0)</f>
        <v>Área Azul</v>
      </c>
      <c r="K552" t="str">
        <f>VLOOKUP(Table1[[#This Row],[Nome do avaliador ]],M:N,2,0)</f>
        <v>A</v>
      </c>
    </row>
    <row r="553" spans="1:11" x14ac:dyDescent="0.3">
      <c r="A553">
        <v>552</v>
      </c>
      <c r="B553" s="1">
        <v>45875.4359722222</v>
      </c>
      <c r="C553" s="1">
        <v>45875.437152777798</v>
      </c>
      <c r="D553" t="s">
        <v>28</v>
      </c>
      <c r="E553" t="s">
        <v>23</v>
      </c>
      <c r="F553" s="2">
        <v>9068</v>
      </c>
      <c r="G553" s="2" t="str">
        <f>VLOOKUP(F553,Produtos!A:B,2,FALSE)</f>
        <v>SKOL LATA 350ML SH C/12 NPAL</v>
      </c>
      <c r="H553" t="s">
        <v>487</v>
      </c>
      <c r="I55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3" s="9" t="str">
        <f>VLOOKUP(Table1[[#This Row],[Área avaliada]],Endereços!A:B,2,0)</f>
        <v>Área Azul</v>
      </c>
      <c r="K553" t="str">
        <f>VLOOKUP(Table1[[#This Row],[Nome do avaliador ]],M:N,2,0)</f>
        <v>A</v>
      </c>
    </row>
    <row r="554" spans="1:11" x14ac:dyDescent="0.3">
      <c r="A554">
        <v>553</v>
      </c>
      <c r="B554" s="1">
        <v>45875.532719907402</v>
      </c>
      <c r="C554" s="1">
        <v>45875.533275463</v>
      </c>
      <c r="D554" t="s">
        <v>19</v>
      </c>
      <c r="E554" t="s">
        <v>23</v>
      </c>
      <c r="F554" s="2">
        <v>24168</v>
      </c>
      <c r="G554" s="2" t="str">
        <f>VLOOKUP(F554,Produtos!A:B,2,FALSE)</f>
        <v>MICHELOB ULTRA N LN 330ML SP SH C/4</v>
      </c>
      <c r="H554" t="s">
        <v>482</v>
      </c>
      <c r="I55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4" s="9" t="str">
        <f>VLOOKUP(Table1[[#This Row],[Área avaliada]],Endereços!A:B,2,0)</f>
        <v>Área Azul</v>
      </c>
      <c r="K554" t="str">
        <f>VLOOKUP(Table1[[#This Row],[Nome do avaliador ]],M:N,2,0)</f>
        <v>A</v>
      </c>
    </row>
    <row r="555" spans="1:11" x14ac:dyDescent="0.3">
      <c r="A555">
        <v>554</v>
      </c>
      <c r="B555" s="1">
        <v>45875.544479166703</v>
      </c>
      <c r="C555" s="1">
        <v>45875.5452083333</v>
      </c>
      <c r="D555" t="s">
        <v>19</v>
      </c>
      <c r="E555" t="s">
        <v>20</v>
      </c>
      <c r="F555" s="2">
        <v>504</v>
      </c>
      <c r="G555" s="2" t="str">
        <f>VLOOKUP(F555,Produtos!A:B,2,FALSE)</f>
        <v>PEPSI COLA PET 2L CAIXA C/6</v>
      </c>
      <c r="H555" t="s">
        <v>482</v>
      </c>
      <c r="I55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5" s="9" t="str">
        <f>VLOOKUP(Table1[[#This Row],[Área avaliada]],Endereços!A:B,2,0)</f>
        <v>Área Azul</v>
      </c>
      <c r="K555" t="str">
        <f>VLOOKUP(Table1[[#This Row],[Nome do avaliador ]],M:N,2,0)</f>
        <v>A</v>
      </c>
    </row>
    <row r="556" spans="1:11" x14ac:dyDescent="0.3">
      <c r="A556">
        <v>555</v>
      </c>
      <c r="B556" s="1">
        <v>45875.566145833298</v>
      </c>
      <c r="C556" s="1">
        <v>45875.567071759302</v>
      </c>
      <c r="D556" t="s">
        <v>17</v>
      </c>
      <c r="E556" t="s">
        <v>25</v>
      </c>
      <c r="F556" s="2">
        <v>7983</v>
      </c>
      <c r="G556" s="2" t="str">
        <f>VLOOKUP(F556,Produtos!A:B,2,FALSE)</f>
        <v>GATORADE MORANGO MARACUJA PET500ML SIXPA</v>
      </c>
      <c r="H556" t="s">
        <v>475</v>
      </c>
      <c r="I55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6" s="9" t="str">
        <f>VLOOKUP(Table1[[#This Row],[Área avaliada]],Endereços!A:B,2,0)</f>
        <v>Área Azul</v>
      </c>
      <c r="K556" t="s">
        <v>510</v>
      </c>
    </row>
    <row r="557" spans="1:11" x14ac:dyDescent="0.3">
      <c r="A557">
        <v>556</v>
      </c>
      <c r="B557" s="1">
        <v>45875.667696759301</v>
      </c>
      <c r="C557" s="1">
        <v>45875.6691782407</v>
      </c>
      <c r="D557" t="s">
        <v>31</v>
      </c>
      <c r="E557" t="s">
        <v>15</v>
      </c>
      <c r="G557" t="e">
        <f>VLOOKUP(F557,Produtos!A:B,2,FALSE)</f>
        <v>#N/A</v>
      </c>
      <c r="I55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7" s="9" t="str">
        <f>VLOOKUP(Table1[[#This Row],[Área avaliada]],Endereços!A:B,2,0)</f>
        <v>Picking Alto Giro</v>
      </c>
      <c r="K557" t="str">
        <f>VLOOKUP(Table1[[#This Row],[Nome do avaliador ]],M:N,2,0)</f>
        <v>B</v>
      </c>
    </row>
    <row r="558" spans="1:11" x14ac:dyDescent="0.3">
      <c r="A558">
        <v>557</v>
      </c>
      <c r="B558" s="1">
        <v>45876.316215277802</v>
      </c>
      <c r="C558" s="1">
        <v>45876.317719907398</v>
      </c>
      <c r="D558" t="s">
        <v>28</v>
      </c>
      <c r="E558" t="s">
        <v>15</v>
      </c>
      <c r="F558" s="2">
        <v>19310</v>
      </c>
      <c r="G558" s="2" t="str">
        <f>VLOOKUP(F558,Produtos!A:B,2,FALSE)</f>
        <v>ORIGINAL LATA 350ML CX CARTAO C/12 NPAL</v>
      </c>
      <c r="H558" t="s">
        <v>482</v>
      </c>
      <c r="I55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8" s="9" t="str">
        <f>VLOOKUP(Table1[[#This Row],[Área avaliada]],Endereços!A:B,2,0)</f>
        <v>Picking Alto Giro</v>
      </c>
      <c r="K558" t="str">
        <f>VLOOKUP(Table1[[#This Row],[Nome do avaliador ]],M:N,2,0)</f>
        <v>A</v>
      </c>
    </row>
    <row r="559" spans="1:11" x14ac:dyDescent="0.3">
      <c r="A559">
        <v>558</v>
      </c>
      <c r="B559" s="1">
        <v>45877.296712962998</v>
      </c>
      <c r="C559" s="1">
        <v>45877.2972800926</v>
      </c>
      <c r="D559" t="s">
        <v>19</v>
      </c>
      <c r="E559" t="s">
        <v>23</v>
      </c>
      <c r="F559" s="2">
        <v>9071</v>
      </c>
      <c r="G559" s="2" t="str">
        <f>VLOOKUP(F559,Produtos!A:B,2,FALSE)</f>
        <v>CARACU LATA 350ML SH C/12 NPAL</v>
      </c>
      <c r="H559" t="s">
        <v>482</v>
      </c>
      <c r="I55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9" s="9" t="str">
        <f>VLOOKUP(Table1[[#This Row],[Área avaliada]],Endereços!A:B,2,0)</f>
        <v>Área Azul</v>
      </c>
      <c r="K559" t="str">
        <f>VLOOKUP(Table1[[#This Row],[Nome do avaliador ]],M:N,2,0)</f>
        <v>A</v>
      </c>
    </row>
    <row r="560" spans="1:11" x14ac:dyDescent="0.3">
      <c r="A560">
        <v>559</v>
      </c>
      <c r="B560" s="1">
        <v>45877.325937499998</v>
      </c>
      <c r="C560" s="1">
        <v>45877.326435185198</v>
      </c>
      <c r="D560" t="s">
        <v>19</v>
      </c>
      <c r="E560" t="s">
        <v>20</v>
      </c>
      <c r="F560" s="2">
        <v>9320</v>
      </c>
      <c r="G560" s="2" t="str">
        <f>VLOOKUP(F560,Produtos!A:B,2,FALSE)</f>
        <v>BRAHMA CHOPP LT 473ML SH C/12 NPAL</v>
      </c>
      <c r="H560" t="s">
        <v>482</v>
      </c>
      <c r="I56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0" s="9" t="str">
        <f>VLOOKUP(Table1[[#This Row],[Área avaliada]],Endereços!A:B,2,0)</f>
        <v>Área Azul</v>
      </c>
      <c r="K560" t="str">
        <f>VLOOKUP(Table1[[#This Row],[Nome do avaliador ]],M:N,2,0)</f>
        <v>A</v>
      </c>
    </row>
    <row r="561" spans="1:11" x14ac:dyDescent="0.3">
      <c r="A561">
        <v>560</v>
      </c>
      <c r="B561" s="1">
        <v>45877.326747685198</v>
      </c>
      <c r="C561" s="1">
        <v>45877.327395833301</v>
      </c>
      <c r="D561" t="s">
        <v>19</v>
      </c>
      <c r="E561" t="s">
        <v>20</v>
      </c>
      <c r="F561" s="2">
        <v>34420</v>
      </c>
      <c r="G561" s="2" t="str">
        <f>VLOOKUP(F561,Produtos!A:B,2,FALSE)</f>
        <v>RED BULL SUM MARAC E MELAO LT 250ML FP</v>
      </c>
      <c r="H561" t="s">
        <v>473</v>
      </c>
      <c r="I56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1" s="9" t="str">
        <f>VLOOKUP(Table1[[#This Row],[Área avaliada]],Endereços!A:B,2,0)</f>
        <v>Área Azul</v>
      </c>
      <c r="K561" t="str">
        <f>VLOOKUP(Table1[[#This Row],[Nome do avaliador ]],M:N,2,0)</f>
        <v>A</v>
      </c>
    </row>
    <row r="562" spans="1:11" x14ac:dyDescent="0.3">
      <c r="A562">
        <v>561</v>
      </c>
      <c r="B562" s="1">
        <v>45877.375833333303</v>
      </c>
      <c r="C562" s="1">
        <v>45877.376435185201</v>
      </c>
      <c r="D562" t="s">
        <v>19</v>
      </c>
      <c r="E562" t="s">
        <v>23</v>
      </c>
      <c r="F562" s="2">
        <v>9067</v>
      </c>
      <c r="G562" s="2" t="str">
        <f>VLOOKUP(F562,Produtos!A:B,2,FALSE)</f>
        <v>ANTARCTICA PILSEN LATA 350ML SH C/12 NPA</v>
      </c>
      <c r="H562" t="s">
        <v>473</v>
      </c>
      <c r="I56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2" s="9" t="str">
        <f>VLOOKUP(Table1[[#This Row],[Área avaliada]],Endereços!A:B,2,0)</f>
        <v>Área Azul</v>
      </c>
      <c r="K562" t="str">
        <f>VLOOKUP(Table1[[#This Row],[Nome do avaliador ]],M:N,2,0)</f>
        <v>A</v>
      </c>
    </row>
    <row r="563" spans="1:11" x14ac:dyDescent="0.3">
      <c r="A563">
        <v>562</v>
      </c>
      <c r="B563" s="1">
        <v>45877.377546296302</v>
      </c>
      <c r="C563" s="1">
        <v>45877.378368055601</v>
      </c>
      <c r="D563" t="s">
        <v>19</v>
      </c>
      <c r="E563" t="s">
        <v>25</v>
      </c>
      <c r="F563" s="2">
        <v>19310</v>
      </c>
      <c r="G563" s="2" t="str">
        <f>VLOOKUP(F563,Produtos!A:B,2,FALSE)</f>
        <v>ORIGINAL LATA 350ML CX CARTAO C/12 NPAL</v>
      </c>
      <c r="H563" t="s">
        <v>473</v>
      </c>
      <c r="I56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3" s="9" t="str">
        <f>VLOOKUP(Table1[[#This Row],[Área avaliada]],Endereços!A:B,2,0)</f>
        <v>Área Azul</v>
      </c>
      <c r="K563" t="str">
        <f>VLOOKUP(Table1[[#This Row],[Nome do avaliador ]],M:N,2,0)</f>
        <v>A</v>
      </c>
    </row>
    <row r="564" spans="1:11" x14ac:dyDescent="0.3">
      <c r="A564">
        <v>563</v>
      </c>
      <c r="B564" s="1">
        <v>45878.270555555602</v>
      </c>
      <c r="C564" s="1">
        <v>45878.271168981497</v>
      </c>
      <c r="D564" t="s">
        <v>19</v>
      </c>
      <c r="E564" t="s">
        <v>25</v>
      </c>
      <c r="F564" s="2">
        <v>19310</v>
      </c>
      <c r="G564" s="2" t="str">
        <f>VLOOKUP(F564,Produtos!A:B,2,FALSE)</f>
        <v>ORIGINAL LATA 350ML CX CARTAO C/12 NPAL</v>
      </c>
      <c r="H564" t="s">
        <v>473</v>
      </c>
      <c r="I56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4" s="9" t="str">
        <f>VLOOKUP(Table1[[#This Row],[Área avaliada]],Endereços!A:B,2,0)</f>
        <v>Área Azul</v>
      </c>
      <c r="K564" t="str">
        <f>VLOOKUP(Table1[[#This Row],[Nome do avaliador ]],M:N,2,0)</f>
        <v>A</v>
      </c>
    </row>
    <row r="565" spans="1:11" x14ac:dyDescent="0.3">
      <c r="A565">
        <v>564</v>
      </c>
      <c r="B565" s="1">
        <v>45878.272835648102</v>
      </c>
      <c r="C565" s="1">
        <v>45878.274120370399</v>
      </c>
      <c r="D565" t="s">
        <v>28</v>
      </c>
      <c r="E565" t="s">
        <v>23</v>
      </c>
      <c r="F565" s="2">
        <v>9067</v>
      </c>
      <c r="G565" s="2" t="str">
        <f>VLOOKUP(F565,Produtos!A:B,2,FALSE)</f>
        <v>ANTARCTICA PILSEN LATA 350ML SH C/12 NPA</v>
      </c>
      <c r="H565" t="s">
        <v>489</v>
      </c>
      <c r="I56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5" s="9" t="str">
        <f>VLOOKUP(Table1[[#This Row],[Área avaliada]],Endereços!A:B,2,0)</f>
        <v>Área Azul</v>
      </c>
      <c r="K565" t="str">
        <f>VLOOKUP(Table1[[#This Row],[Nome do avaliador ]],M:N,2,0)</f>
        <v>A</v>
      </c>
    </row>
    <row r="566" spans="1:11" x14ac:dyDescent="0.3">
      <c r="A566">
        <v>565</v>
      </c>
      <c r="B566" s="1">
        <v>45878.275995370401</v>
      </c>
      <c r="C566" s="1">
        <v>45878.276817129597</v>
      </c>
      <c r="D566" t="s">
        <v>19</v>
      </c>
      <c r="E566" t="s">
        <v>23</v>
      </c>
      <c r="F566" s="2">
        <v>18765</v>
      </c>
      <c r="G566" s="2" t="str">
        <f>VLOOKUP(F566,Produtos!A:B,2,FALSE)</f>
        <v>PATAGONIA WEISSE NAC LATA 473ML 6 PACK</v>
      </c>
      <c r="H566" t="s">
        <v>473</v>
      </c>
      <c r="I56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6" s="9" t="str">
        <f>VLOOKUP(Table1[[#This Row],[Área avaliada]],Endereços!A:B,2,0)</f>
        <v>Área Azul</v>
      </c>
      <c r="K566" t="str">
        <f>VLOOKUP(Table1[[#This Row],[Nome do avaliador ]],M:N,2,0)</f>
        <v>A</v>
      </c>
    </row>
    <row r="567" spans="1:11" x14ac:dyDescent="0.3">
      <c r="A567">
        <v>566</v>
      </c>
      <c r="B567" s="1">
        <v>45878.275856481501</v>
      </c>
      <c r="C567" s="1">
        <v>45878.276909722197</v>
      </c>
      <c r="D567" t="s">
        <v>28</v>
      </c>
      <c r="E567" t="s">
        <v>23</v>
      </c>
      <c r="F567" s="2">
        <v>34608</v>
      </c>
      <c r="G567" s="2" t="str">
        <f>VLOOKUP(F567,Produtos!A:B,2,FALSE)</f>
        <v>SKOL LATA 350ML SH C/12 MULTIPAK</v>
      </c>
      <c r="H567" t="s">
        <v>487</v>
      </c>
      <c r="I56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7" s="9" t="str">
        <f>VLOOKUP(Table1[[#This Row],[Área avaliada]],Endereços!A:B,2,0)</f>
        <v>Área Azul</v>
      </c>
      <c r="K567" t="str">
        <f>VLOOKUP(Table1[[#This Row],[Nome do avaliador ]],M:N,2,0)</f>
        <v>A</v>
      </c>
    </row>
    <row r="568" spans="1:11" x14ac:dyDescent="0.3">
      <c r="A568">
        <v>567</v>
      </c>
      <c r="B568" s="1">
        <v>45878.276192129597</v>
      </c>
      <c r="C568" s="1">
        <v>45878.276921296303</v>
      </c>
      <c r="D568" t="s">
        <v>17</v>
      </c>
      <c r="E568" t="s">
        <v>23</v>
      </c>
      <c r="F568" s="2">
        <v>18764</v>
      </c>
      <c r="G568" s="2" t="str">
        <f>VLOOKUP(F568,Produtos!A:B,2,FALSE)</f>
        <v>PATAGONIA BOH PIL NAC LATA 473ML 6 PACK</v>
      </c>
      <c r="H568" t="s">
        <v>475</v>
      </c>
      <c r="I56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8" s="9" t="str">
        <f>VLOOKUP(Table1[[#This Row],[Área avaliada]],Endereços!A:B,2,0)</f>
        <v>Área Azul</v>
      </c>
      <c r="K568" t="s">
        <v>510</v>
      </c>
    </row>
    <row r="569" spans="1:11" x14ac:dyDescent="0.3">
      <c r="A569">
        <v>568</v>
      </c>
      <c r="B569" s="1">
        <v>45878.279108796298</v>
      </c>
      <c r="C569" s="1">
        <v>45878.279756944401</v>
      </c>
      <c r="D569" t="s">
        <v>19</v>
      </c>
      <c r="E569" t="s">
        <v>23</v>
      </c>
      <c r="F569" s="2">
        <v>9085</v>
      </c>
      <c r="G569" s="2" t="str">
        <f>VLOOKUP(F569,Produtos!A:B,2,FALSE)</f>
        <v>GUARANA CHP ANTARCT DIET LT350ML SHC/12</v>
      </c>
      <c r="H569" t="s">
        <v>473</v>
      </c>
      <c r="I56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9" s="9" t="str">
        <f>VLOOKUP(Table1[[#This Row],[Área avaliada]],Endereços!A:B,2,0)</f>
        <v>Área Azul</v>
      </c>
      <c r="K569" t="str">
        <f>VLOOKUP(Table1[[#This Row],[Nome do avaliador ]],M:N,2,0)</f>
        <v>A</v>
      </c>
    </row>
    <row r="570" spans="1:11" x14ac:dyDescent="0.3">
      <c r="A570">
        <v>569</v>
      </c>
      <c r="B570" s="1">
        <v>45878.318182870396</v>
      </c>
      <c r="C570" s="1">
        <v>45878.318703703699</v>
      </c>
      <c r="D570" t="s">
        <v>17</v>
      </c>
      <c r="E570" t="s">
        <v>23</v>
      </c>
      <c r="F570" s="2">
        <v>9071</v>
      </c>
      <c r="G570" s="2" t="str">
        <f>VLOOKUP(F570,Produtos!A:B,2,FALSE)</f>
        <v>CARACU LATA 350ML SH C/12 NPAL</v>
      </c>
      <c r="H570" t="s">
        <v>475</v>
      </c>
      <c r="I57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0" s="9" t="str">
        <f>VLOOKUP(Table1[[#This Row],[Área avaliada]],Endereços!A:B,2,0)</f>
        <v>Área Azul</v>
      </c>
      <c r="K570" t="s">
        <v>510</v>
      </c>
    </row>
    <row r="571" spans="1:11" x14ac:dyDescent="0.3">
      <c r="A571">
        <v>570</v>
      </c>
      <c r="B571" s="1">
        <v>45878.318715277797</v>
      </c>
      <c r="C571" s="1">
        <v>45878.319317129601</v>
      </c>
      <c r="D571" t="s">
        <v>17</v>
      </c>
      <c r="E571" t="s">
        <v>20</v>
      </c>
      <c r="F571" s="2">
        <v>9320</v>
      </c>
      <c r="G571" s="2" t="str">
        <f>VLOOKUP(F571,Produtos!A:B,2,FALSE)</f>
        <v>BRAHMA CHOPP LT 473ML SH C/12 NPAL</v>
      </c>
      <c r="H571" t="s">
        <v>475</v>
      </c>
      <c r="I57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1" s="9" t="str">
        <f>VLOOKUP(Table1[[#This Row],[Área avaliada]],Endereços!A:B,2,0)</f>
        <v>Área Azul</v>
      </c>
      <c r="K571" t="s">
        <v>510</v>
      </c>
    </row>
    <row r="572" spans="1:11" x14ac:dyDescent="0.3">
      <c r="A572">
        <v>571</v>
      </c>
      <c r="B572" s="1">
        <v>45878.535405092603</v>
      </c>
      <c r="C572" s="1">
        <v>45878.536111111098</v>
      </c>
      <c r="D572" t="s">
        <v>19</v>
      </c>
      <c r="E572" t="s">
        <v>23</v>
      </c>
      <c r="F572" s="2">
        <v>14135</v>
      </c>
      <c r="G572" s="2" t="str">
        <f>VLOOKUP(F572,Produtos!A:B,2,FALSE)</f>
        <v>BUDWEISER LT 473ML SIX-PACK SH C/2 NPAL</v>
      </c>
      <c r="H572" t="s">
        <v>473</v>
      </c>
      <c r="I57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2" s="9" t="str">
        <f>VLOOKUP(Table1[[#This Row],[Área avaliada]],Endereços!A:B,2,0)</f>
        <v>Área Azul</v>
      </c>
      <c r="K572" t="str">
        <f>VLOOKUP(Table1[[#This Row],[Nome do avaliador ]],M:N,2,0)</f>
        <v>A</v>
      </c>
    </row>
    <row r="573" spans="1:11" x14ac:dyDescent="0.3">
      <c r="A573">
        <v>572</v>
      </c>
      <c r="B573" s="1">
        <v>45878.536909722199</v>
      </c>
      <c r="C573" s="1">
        <v>45878.537476851903</v>
      </c>
      <c r="D573" t="s">
        <v>19</v>
      </c>
      <c r="E573" t="s">
        <v>23</v>
      </c>
      <c r="F573" s="2">
        <v>9096</v>
      </c>
      <c r="G573" s="2" t="str">
        <f>VLOOKUP(F573,Produtos!A:B,2,FALSE)</f>
        <v>PEPSI COLA LATA 350ML SH C/12 NPAL</v>
      </c>
      <c r="H573" t="s">
        <v>473</v>
      </c>
      <c r="I57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3" s="9" t="str">
        <f>VLOOKUP(Table1[[#This Row],[Área avaliada]],Endereços!A:B,2,0)</f>
        <v>Área Azul</v>
      </c>
      <c r="K573" t="str">
        <f>VLOOKUP(Table1[[#This Row],[Nome do avaliador ]],M:N,2,0)</f>
        <v>A</v>
      </c>
    </row>
    <row r="574" spans="1:11" x14ac:dyDescent="0.3">
      <c r="A574">
        <v>573</v>
      </c>
      <c r="B574" s="1">
        <v>45878.878761574102</v>
      </c>
      <c r="C574" s="1">
        <v>45878.888344907398</v>
      </c>
      <c r="D574" t="s">
        <v>35</v>
      </c>
      <c r="E574" t="s">
        <v>15</v>
      </c>
      <c r="G574" t="e">
        <f>VLOOKUP(F574,Produtos!A:B,2,FALSE)</f>
        <v>#N/A</v>
      </c>
      <c r="I57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4" s="9" t="str">
        <f>VLOOKUP(Table1[[#This Row],[Área avaliada]],Endereços!A:B,2,0)</f>
        <v>Picking Alto Giro</v>
      </c>
      <c r="K574" t="str">
        <f>VLOOKUP(Table1[[#This Row],[Nome do avaliador ]],M:N,2,0)</f>
        <v>B</v>
      </c>
    </row>
    <row r="575" spans="1:11" x14ac:dyDescent="0.3">
      <c r="A575">
        <v>574</v>
      </c>
      <c r="B575" s="1">
        <v>45880.370868055601</v>
      </c>
      <c r="C575" s="1">
        <v>45880.371400463002</v>
      </c>
      <c r="D575" t="s">
        <v>19</v>
      </c>
      <c r="E575" t="s">
        <v>20</v>
      </c>
      <c r="F575" s="2">
        <v>9085</v>
      </c>
      <c r="G575" s="2" t="str">
        <f>VLOOKUP(F575,Produtos!A:B,2,FALSE)</f>
        <v>GUARANA CHP ANTARCT DIET LT350ML SHC/12</v>
      </c>
      <c r="H575" t="s">
        <v>473</v>
      </c>
      <c r="I57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5" s="9" t="str">
        <f>VLOOKUP(Table1[[#This Row],[Área avaliada]],Endereços!A:B,2,0)</f>
        <v>Área Azul</v>
      </c>
      <c r="K575" t="str">
        <f>VLOOKUP(Table1[[#This Row],[Nome do avaliador ]],M:N,2,0)</f>
        <v>A</v>
      </c>
    </row>
    <row r="576" spans="1:11" x14ac:dyDescent="0.3">
      <c r="A576">
        <v>575</v>
      </c>
      <c r="B576" s="1">
        <v>45880.371076388903</v>
      </c>
      <c r="C576" s="1">
        <v>45880.371770833299</v>
      </c>
      <c r="D576" t="s">
        <v>17</v>
      </c>
      <c r="E576" t="s">
        <v>25</v>
      </c>
      <c r="F576" s="2">
        <v>504</v>
      </c>
      <c r="G576" s="2" t="str">
        <f>VLOOKUP(F576,Produtos!A:B,2,FALSE)</f>
        <v>PEPSI COLA PET 2L CAIXA C/6</v>
      </c>
      <c r="H576" t="s">
        <v>475</v>
      </c>
      <c r="I57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6" s="9" t="str">
        <f>VLOOKUP(Table1[[#This Row],[Área avaliada]],Endereços!A:B,2,0)</f>
        <v>Área Azul</v>
      </c>
      <c r="K576" t="s">
        <v>510</v>
      </c>
    </row>
    <row r="577" spans="1:11" x14ac:dyDescent="0.3">
      <c r="A577">
        <v>576</v>
      </c>
      <c r="B577" s="1">
        <v>45880.373553240701</v>
      </c>
      <c r="C577" s="1">
        <v>45880.374166666697</v>
      </c>
      <c r="D577" t="s">
        <v>19</v>
      </c>
      <c r="E577" t="s">
        <v>20</v>
      </c>
      <c r="F577" s="2">
        <v>9084</v>
      </c>
      <c r="G577" s="2" t="str">
        <f>VLOOKUP(F577,Produtos!A:B,2,FALSE)</f>
        <v>GUARANA CHP ANTARCT LT350ML SH C/12 NPAL</v>
      </c>
      <c r="H577" t="s">
        <v>473</v>
      </c>
      <c r="I57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7" s="9" t="str">
        <f>VLOOKUP(Table1[[#This Row],[Área avaliada]],Endereços!A:B,2,0)</f>
        <v>Área Azul</v>
      </c>
      <c r="K577" t="str">
        <f>VLOOKUP(Table1[[#This Row],[Nome do avaliador ]],M:N,2,0)</f>
        <v>A</v>
      </c>
    </row>
    <row r="578" spans="1:11" x14ac:dyDescent="0.3">
      <c r="A578">
        <v>577</v>
      </c>
      <c r="B578" s="1">
        <v>45880.373391203699</v>
      </c>
      <c r="C578" s="1">
        <v>45880.374421296299</v>
      </c>
      <c r="D578" t="s">
        <v>28</v>
      </c>
      <c r="E578" t="s">
        <v>15</v>
      </c>
      <c r="F578" s="2">
        <v>19310</v>
      </c>
      <c r="G578" s="2" t="str">
        <f>VLOOKUP(F578,Produtos!A:B,2,FALSE)</f>
        <v>ORIGINAL LATA 350ML CX CARTAO C/12 NPAL</v>
      </c>
      <c r="H578" t="s">
        <v>475</v>
      </c>
      <c r="I57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8" s="9" t="str">
        <f>VLOOKUP(Table1[[#This Row],[Área avaliada]],Endereços!A:B,2,0)</f>
        <v>Picking Alto Giro</v>
      </c>
      <c r="K578" t="str">
        <f>VLOOKUP(Table1[[#This Row],[Nome do avaliador ]],M:N,2,0)</f>
        <v>A</v>
      </c>
    </row>
    <row r="579" spans="1:11" x14ac:dyDescent="0.3">
      <c r="A579">
        <v>578</v>
      </c>
      <c r="B579" s="1">
        <v>45880.374768518501</v>
      </c>
      <c r="C579" s="1">
        <v>45880.375625000001</v>
      </c>
      <c r="D579" t="s">
        <v>17</v>
      </c>
      <c r="E579" t="s">
        <v>20</v>
      </c>
      <c r="F579" s="2">
        <v>9081</v>
      </c>
      <c r="G579" s="2" t="str">
        <f>VLOOKUP(F579,Produtos!A:B,2,FALSE)</f>
        <v>MALZBIER BRAHMA LATA 350ML SH C/12 NPAL</v>
      </c>
      <c r="H579" t="s">
        <v>475</v>
      </c>
      <c r="I57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9" s="9" t="str">
        <f>VLOOKUP(Table1[[#This Row],[Área avaliada]],Endereços!A:B,2,0)</f>
        <v>Área Azul</v>
      </c>
      <c r="K579" t="s">
        <v>510</v>
      </c>
    </row>
    <row r="580" spans="1:11" x14ac:dyDescent="0.3">
      <c r="A580">
        <v>579</v>
      </c>
      <c r="B580" s="1">
        <v>45880.376030092601</v>
      </c>
      <c r="C580" s="1">
        <v>45880.3766203704</v>
      </c>
      <c r="D580" t="s">
        <v>19</v>
      </c>
      <c r="E580" t="s">
        <v>33</v>
      </c>
      <c r="F580" s="2">
        <v>9274</v>
      </c>
      <c r="G580" s="2" t="str">
        <f>VLOOKUP(F580,Produtos!A:B,2,FALSE)</f>
        <v>PEPSI ZERO LATA 350ML SH C/12 NPAL</v>
      </c>
      <c r="H580" t="s">
        <v>473</v>
      </c>
      <c r="I58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0" s="9" t="str">
        <f>VLOOKUP(Table1[[#This Row],[Área avaliada]],Endereços!A:B,2,0)</f>
        <v>Área Verde</v>
      </c>
      <c r="K580" t="str">
        <f>VLOOKUP(Table1[[#This Row],[Nome do avaliador ]],M:N,2,0)</f>
        <v>A</v>
      </c>
    </row>
    <row r="581" spans="1:11" x14ac:dyDescent="0.3">
      <c r="A581">
        <v>580</v>
      </c>
      <c r="B581" s="1">
        <v>45880.3774305556</v>
      </c>
      <c r="C581" s="1">
        <v>45880.378773148099</v>
      </c>
      <c r="D581" t="s">
        <v>28</v>
      </c>
      <c r="E581" t="s">
        <v>23</v>
      </c>
      <c r="F581" s="2">
        <v>9069</v>
      </c>
      <c r="G581" s="2" t="str">
        <f>VLOOKUP(F581,Produtos!A:B,2,FALSE)</f>
        <v>BRAHMA CHOPP LATA 350ML SH C/12 NPAL</v>
      </c>
      <c r="H581" t="s">
        <v>482</v>
      </c>
      <c r="I58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1" s="9" t="str">
        <f>VLOOKUP(Table1[[#This Row],[Área avaliada]],Endereços!A:B,2,0)</f>
        <v>Área Azul</v>
      </c>
      <c r="K581" t="str">
        <f>VLOOKUP(Table1[[#This Row],[Nome do avaliador ]],M:N,2,0)</f>
        <v>A</v>
      </c>
    </row>
    <row r="582" spans="1:11" x14ac:dyDescent="0.3">
      <c r="A582">
        <v>581</v>
      </c>
      <c r="B582" s="1">
        <v>45880.373553240701</v>
      </c>
      <c r="C582" s="1">
        <v>45880.379351851901</v>
      </c>
      <c r="D582" t="s">
        <v>19</v>
      </c>
      <c r="E582" t="s">
        <v>23</v>
      </c>
      <c r="F582" s="2">
        <v>9069</v>
      </c>
      <c r="G582" s="2" t="str">
        <f>VLOOKUP(F582,Produtos!A:B,2,FALSE)</f>
        <v>BRAHMA CHOPP LATA 350ML SH C/12 NPAL</v>
      </c>
      <c r="H582" t="s">
        <v>473</v>
      </c>
      <c r="I58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2" s="9" t="str">
        <f>VLOOKUP(Table1[[#This Row],[Área avaliada]],Endereços!A:B,2,0)</f>
        <v>Área Azul</v>
      </c>
      <c r="K582" t="str">
        <f>VLOOKUP(Table1[[#This Row],[Nome do avaliador ]],M:N,2,0)</f>
        <v>A</v>
      </c>
    </row>
    <row r="583" spans="1:11" x14ac:dyDescent="0.3">
      <c r="A583">
        <v>582</v>
      </c>
      <c r="B583" s="1">
        <v>45880.433472222197</v>
      </c>
      <c r="C583" s="1">
        <v>45880.434409722198</v>
      </c>
      <c r="D583" t="s">
        <v>17</v>
      </c>
      <c r="E583" t="s">
        <v>23</v>
      </c>
      <c r="F583" s="2">
        <v>9096</v>
      </c>
      <c r="G583" s="2" t="str">
        <f>VLOOKUP(F583,Produtos!A:B,2,FALSE)</f>
        <v>PEPSI COLA LATA 350ML SH C/12 NPAL</v>
      </c>
      <c r="H583" t="s">
        <v>475</v>
      </c>
      <c r="I58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3" s="9" t="str">
        <f>VLOOKUP(Table1[[#This Row],[Área avaliada]],Endereços!A:B,2,0)</f>
        <v>Área Azul</v>
      </c>
      <c r="K583" t="s">
        <v>510</v>
      </c>
    </row>
    <row r="584" spans="1:11" x14ac:dyDescent="0.3">
      <c r="A584">
        <v>583</v>
      </c>
      <c r="B584" s="1">
        <v>45880.434432870403</v>
      </c>
      <c r="C584" s="1">
        <v>45880.4350231481</v>
      </c>
      <c r="D584" t="s">
        <v>17</v>
      </c>
      <c r="E584" t="s">
        <v>23</v>
      </c>
      <c r="F584" s="2">
        <v>18490</v>
      </c>
      <c r="G584" s="2" t="str">
        <f>VLOOKUP(F584,Produtos!A:B,2,FALSE)</f>
        <v>PATAGONIA AMB LAG NAC LATA 473ML 6PACK</v>
      </c>
      <c r="H584" t="s">
        <v>475</v>
      </c>
      <c r="I58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4" s="9" t="str">
        <f>VLOOKUP(Table1[[#This Row],[Área avaliada]],Endereços!A:B,2,0)</f>
        <v>Área Azul</v>
      </c>
      <c r="K584" t="s">
        <v>510</v>
      </c>
    </row>
    <row r="585" spans="1:11" x14ac:dyDescent="0.3">
      <c r="A585">
        <v>584</v>
      </c>
      <c r="B585" s="1">
        <v>45880.435057870403</v>
      </c>
      <c r="C585" s="1">
        <v>45880.435590277797</v>
      </c>
      <c r="D585" t="s">
        <v>17</v>
      </c>
      <c r="E585" t="s">
        <v>23</v>
      </c>
      <c r="F585" s="2">
        <v>17725</v>
      </c>
      <c r="G585" s="2" t="str">
        <f>VLOOKUP(F585,Produtos!A:B,2,FALSE)</f>
        <v>ANTARCTICA PILSEN LT 350ML SH C/18 MULTP</v>
      </c>
      <c r="H585" t="s">
        <v>475</v>
      </c>
      <c r="I58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5" s="9" t="str">
        <f>VLOOKUP(Table1[[#This Row],[Área avaliada]],Endereços!A:B,2,0)</f>
        <v>Área Azul</v>
      </c>
      <c r="K585" t="s">
        <v>510</v>
      </c>
    </row>
    <row r="586" spans="1:11" x14ac:dyDescent="0.3">
      <c r="A586">
        <v>585</v>
      </c>
      <c r="B586" s="1">
        <v>45880.4428356481</v>
      </c>
      <c r="C586" s="1">
        <v>45880.443634259304</v>
      </c>
      <c r="D586" t="s">
        <v>7</v>
      </c>
      <c r="E586" t="s">
        <v>32</v>
      </c>
      <c r="G586" t="e">
        <f>VLOOKUP(F586,Produtos!A:B,2,FALSE)</f>
        <v>#N/A</v>
      </c>
      <c r="H586" t="s">
        <v>477</v>
      </c>
      <c r="I58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6" s="9" t="str">
        <f>VLOOKUP(Table1[[#This Row],[Área avaliada]],Endereços!A:B,2,0)</f>
        <v>Área Vermelho</v>
      </c>
      <c r="K586" t="str">
        <f>VLOOKUP(Table1[[#This Row],[Nome do avaliador ]],M:N,2,0)</f>
        <v>A</v>
      </c>
    </row>
    <row r="587" spans="1:11" x14ac:dyDescent="0.3">
      <c r="A587">
        <v>586</v>
      </c>
      <c r="B587" s="1">
        <v>45880.494178240697</v>
      </c>
      <c r="C587" s="1">
        <v>45880.494641203702</v>
      </c>
      <c r="D587" t="s">
        <v>17</v>
      </c>
      <c r="E587" t="s">
        <v>23</v>
      </c>
      <c r="F587" s="2">
        <v>14135</v>
      </c>
      <c r="G587" s="2" t="str">
        <f>VLOOKUP(F587,Produtos!A:B,2,FALSE)</f>
        <v>BUDWEISER LT 473ML SIX-PACK SH C/2 NPAL</v>
      </c>
      <c r="H587" t="s">
        <v>475</v>
      </c>
      <c r="I58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7" s="9" t="str">
        <f>VLOOKUP(Table1[[#This Row],[Área avaliada]],Endereços!A:B,2,0)</f>
        <v>Área Azul</v>
      </c>
      <c r="K587" t="s">
        <v>510</v>
      </c>
    </row>
    <row r="588" spans="1:11" x14ac:dyDescent="0.3">
      <c r="A588">
        <v>587</v>
      </c>
      <c r="B588" s="1">
        <v>45880.494247685201</v>
      </c>
      <c r="C588" s="1">
        <v>45880.494699074101</v>
      </c>
      <c r="D588" t="s">
        <v>17</v>
      </c>
      <c r="E588" t="s">
        <v>23</v>
      </c>
      <c r="F588" s="2">
        <v>14135</v>
      </c>
      <c r="G588" s="2" t="str">
        <f>VLOOKUP(F588,Produtos!A:B,2,FALSE)</f>
        <v>BUDWEISER LT 473ML SIX-PACK SH C/2 NPAL</v>
      </c>
      <c r="H588" t="s">
        <v>475</v>
      </c>
      <c r="I58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8" s="9" t="str">
        <f>VLOOKUP(Table1[[#This Row],[Área avaliada]],Endereços!A:B,2,0)</f>
        <v>Área Azul</v>
      </c>
      <c r="K588" t="s">
        <v>510</v>
      </c>
    </row>
    <row r="589" spans="1:11" x14ac:dyDescent="0.3">
      <c r="A589">
        <v>588</v>
      </c>
      <c r="B589" s="1">
        <v>45880.494722222204</v>
      </c>
      <c r="C589" s="1">
        <v>45880.495416666701</v>
      </c>
      <c r="D589" t="s">
        <v>17</v>
      </c>
      <c r="E589" t="s">
        <v>23</v>
      </c>
      <c r="F589" s="2">
        <v>9071</v>
      </c>
      <c r="G589" s="2" t="str">
        <f>VLOOKUP(F589,Produtos!A:B,2,FALSE)</f>
        <v>CARACU LATA 350ML SH C/12 NPAL</v>
      </c>
      <c r="H589" t="s">
        <v>475</v>
      </c>
      <c r="I58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9" s="9" t="str">
        <f>VLOOKUP(Table1[[#This Row],[Área avaliada]],Endereços!A:B,2,0)</f>
        <v>Área Azul</v>
      </c>
      <c r="K589" t="s">
        <v>510</v>
      </c>
    </row>
    <row r="590" spans="1:11" x14ac:dyDescent="0.3">
      <c r="A590">
        <v>589</v>
      </c>
      <c r="B590" s="1">
        <v>45880.670011574097</v>
      </c>
      <c r="C590" s="1">
        <v>45880.675000000003</v>
      </c>
      <c r="D590" t="s">
        <v>31</v>
      </c>
      <c r="E590" t="s">
        <v>15</v>
      </c>
      <c r="G590" t="e">
        <f>VLOOKUP(F590,Produtos!A:B,2,FALSE)</f>
        <v>#N/A</v>
      </c>
      <c r="I59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0" s="9" t="str">
        <f>VLOOKUP(Table1[[#This Row],[Área avaliada]],Endereços!A:B,2,0)</f>
        <v>Picking Alto Giro</v>
      </c>
      <c r="K590" t="str">
        <f>VLOOKUP(Table1[[#This Row],[Nome do avaliador ]],M:N,2,0)</f>
        <v>B</v>
      </c>
    </row>
    <row r="591" spans="1:11" x14ac:dyDescent="0.3">
      <c r="A591">
        <v>590</v>
      </c>
      <c r="B591" s="1">
        <v>45881.3069791667</v>
      </c>
      <c r="C591" s="1">
        <v>45881.310486111099</v>
      </c>
      <c r="D591" t="s">
        <v>28</v>
      </c>
      <c r="E591" t="s">
        <v>23</v>
      </c>
      <c r="F591" s="2">
        <v>9068</v>
      </c>
      <c r="G591" s="2" t="str">
        <f>VLOOKUP(F591,Produtos!A:B,2,FALSE)</f>
        <v>SKOL LATA 350ML SH C/12 NPAL</v>
      </c>
      <c r="H591" t="s">
        <v>482</v>
      </c>
      <c r="I59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1" s="9" t="str">
        <f>VLOOKUP(Table1[[#This Row],[Área avaliada]],Endereços!A:B,2,0)</f>
        <v>Área Azul</v>
      </c>
      <c r="K591" t="str">
        <f>VLOOKUP(Table1[[#This Row],[Nome do avaliador ]],M:N,2,0)</f>
        <v>A</v>
      </c>
    </row>
    <row r="592" spans="1:11" x14ac:dyDescent="0.3">
      <c r="A592">
        <v>591</v>
      </c>
      <c r="B592" s="1">
        <v>45881.313518518502</v>
      </c>
      <c r="C592" s="1">
        <v>45881.314421296302</v>
      </c>
      <c r="D592" t="s">
        <v>28</v>
      </c>
      <c r="E592" t="s">
        <v>20</v>
      </c>
      <c r="F592" s="2">
        <v>12948</v>
      </c>
      <c r="G592" s="2" t="str">
        <f>VLOOKUP(F592,Produtos!A:B,2,FALSE)</f>
        <v>BRAHMA CHOPP ZERO LATA 350 SH CX C12 NPA</v>
      </c>
      <c r="H592" t="s">
        <v>482</v>
      </c>
      <c r="I59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2" s="9" t="str">
        <f>VLOOKUP(Table1[[#This Row],[Área avaliada]],Endereços!A:B,2,0)</f>
        <v>Área Azul</v>
      </c>
      <c r="K592" t="str">
        <f>VLOOKUP(Table1[[#This Row],[Nome do avaliador ]],M:N,2,0)</f>
        <v>A</v>
      </c>
    </row>
    <row r="593" spans="1:11" x14ac:dyDescent="0.3">
      <c r="A593">
        <v>592</v>
      </c>
      <c r="B593" s="1">
        <v>45881.313530092601</v>
      </c>
      <c r="C593" s="1">
        <v>45881.3144328704</v>
      </c>
      <c r="D593" t="s">
        <v>28</v>
      </c>
      <c r="E593" t="s">
        <v>20</v>
      </c>
      <c r="F593" s="2">
        <v>12948</v>
      </c>
      <c r="G593" s="2" t="str">
        <f>VLOOKUP(F593,Produtos!A:B,2,FALSE)</f>
        <v>BRAHMA CHOPP ZERO LATA 350 SH CX C12 NPA</v>
      </c>
      <c r="H593" t="s">
        <v>482</v>
      </c>
      <c r="I59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3" s="9" t="str">
        <f>VLOOKUP(Table1[[#This Row],[Área avaliada]],Endereços!A:B,2,0)</f>
        <v>Área Azul</v>
      </c>
      <c r="K593" t="str">
        <f>VLOOKUP(Table1[[#This Row],[Nome do avaliador ]],M:N,2,0)</f>
        <v>A</v>
      </c>
    </row>
    <row r="594" spans="1:11" x14ac:dyDescent="0.3">
      <c r="A594">
        <v>593</v>
      </c>
      <c r="B594" s="1">
        <v>45881.317766203698</v>
      </c>
      <c r="C594" s="1">
        <v>45881.318715277797</v>
      </c>
      <c r="D594" t="s">
        <v>28</v>
      </c>
      <c r="E594" t="s">
        <v>20</v>
      </c>
      <c r="F594" s="2">
        <v>9081</v>
      </c>
      <c r="G594" s="2" t="str">
        <f>VLOOKUP(F594,Produtos!A:B,2,FALSE)</f>
        <v>MALZBIER BRAHMA LATA 350ML SH C/12 NPAL</v>
      </c>
      <c r="H594" t="s">
        <v>473</v>
      </c>
      <c r="I59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4" s="9" t="str">
        <f>VLOOKUP(Table1[[#This Row],[Área avaliada]],Endereços!A:B,2,0)</f>
        <v>Área Azul</v>
      </c>
      <c r="K594" t="str">
        <f>VLOOKUP(Table1[[#This Row],[Nome do avaliador ]],M:N,2,0)</f>
        <v>A</v>
      </c>
    </row>
    <row r="595" spans="1:11" x14ac:dyDescent="0.3">
      <c r="A595">
        <v>594</v>
      </c>
      <c r="B595" s="1">
        <v>45881.317766203698</v>
      </c>
      <c r="C595" s="1">
        <v>45881.318715277797</v>
      </c>
      <c r="D595" t="s">
        <v>28</v>
      </c>
      <c r="E595" t="s">
        <v>20</v>
      </c>
      <c r="F595" s="2">
        <v>9081</v>
      </c>
      <c r="G595" s="2" t="str">
        <f>VLOOKUP(F595,Produtos!A:B,2,FALSE)</f>
        <v>MALZBIER BRAHMA LATA 350ML SH C/12 NPAL</v>
      </c>
      <c r="H595" t="s">
        <v>473</v>
      </c>
      <c r="I59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5" s="9" t="str">
        <f>VLOOKUP(Table1[[#This Row],[Área avaliada]],Endereços!A:B,2,0)</f>
        <v>Área Azul</v>
      </c>
      <c r="K595" t="str">
        <f>VLOOKUP(Table1[[#This Row],[Nome do avaliador ]],M:N,2,0)</f>
        <v>A</v>
      </c>
    </row>
    <row r="596" spans="1:11" x14ac:dyDescent="0.3">
      <c r="A596">
        <v>595</v>
      </c>
      <c r="B596" s="1">
        <v>45881.324351851901</v>
      </c>
      <c r="C596" s="1">
        <v>45881.325439814798</v>
      </c>
      <c r="D596" t="s">
        <v>28</v>
      </c>
      <c r="E596" t="s">
        <v>23</v>
      </c>
      <c r="F596" s="2">
        <v>9096</v>
      </c>
      <c r="G596" s="2" t="str">
        <f>VLOOKUP(F596,Produtos!A:B,2,FALSE)</f>
        <v>PEPSI COLA LATA 350ML SH C/12 NPAL</v>
      </c>
      <c r="H596" t="s">
        <v>482</v>
      </c>
      <c r="I59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6" s="9" t="str">
        <f>VLOOKUP(Table1[[#This Row],[Área avaliada]],Endereços!A:B,2,0)</f>
        <v>Área Azul</v>
      </c>
      <c r="K596" t="str">
        <f>VLOOKUP(Table1[[#This Row],[Nome do avaliador ]],M:N,2,0)</f>
        <v>A</v>
      </c>
    </row>
    <row r="597" spans="1:11" x14ac:dyDescent="0.3">
      <c r="A597">
        <v>596</v>
      </c>
      <c r="B597" s="1">
        <v>45881.329548611102</v>
      </c>
      <c r="C597" s="1">
        <v>45881.330081018503</v>
      </c>
      <c r="D597" t="s">
        <v>19</v>
      </c>
      <c r="E597" t="s">
        <v>25</v>
      </c>
      <c r="F597" s="2">
        <v>17797</v>
      </c>
      <c r="G597" s="2" t="str">
        <f>VLOOKUP(F597,Produtos!A:B,2,FALSE)</f>
        <v>BRAHMA CHOPP LATA 350ML SH 18 MULTIPACK</v>
      </c>
      <c r="H597" t="s">
        <v>473</v>
      </c>
      <c r="I59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7" s="9" t="str">
        <f>VLOOKUP(Table1[[#This Row],[Área avaliada]],Endereços!A:B,2,0)</f>
        <v>Área Azul</v>
      </c>
      <c r="K597" t="str">
        <f>VLOOKUP(Table1[[#This Row],[Nome do avaliador ]],M:N,2,0)</f>
        <v>A</v>
      </c>
    </row>
    <row r="598" spans="1:11" x14ac:dyDescent="0.3">
      <c r="A598">
        <v>597</v>
      </c>
      <c r="B598" s="1">
        <v>45881.331851851799</v>
      </c>
      <c r="C598" s="1">
        <v>45881.332361111097</v>
      </c>
      <c r="D598" t="s">
        <v>19</v>
      </c>
      <c r="E598" t="s">
        <v>25</v>
      </c>
      <c r="F598" s="2">
        <v>21666</v>
      </c>
      <c r="G598" s="2" t="str">
        <f>VLOOKUP(F598,Produtos!A:B,2,FALSE)</f>
        <v>RED BULL TROP BR LT 250ML FOUR PACK NPAL</v>
      </c>
      <c r="H598" t="s">
        <v>475</v>
      </c>
      <c r="I59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8" s="9" t="str">
        <f>VLOOKUP(Table1[[#This Row],[Área avaliada]],Endereços!A:B,2,0)</f>
        <v>Área Azul</v>
      </c>
      <c r="K598" t="str">
        <f>VLOOKUP(Table1[[#This Row],[Nome do avaliador ]],M:N,2,0)</f>
        <v>A</v>
      </c>
    </row>
    <row r="599" spans="1:11" x14ac:dyDescent="0.3">
      <c r="A599">
        <v>598</v>
      </c>
      <c r="B599" s="1">
        <v>45881.332395833299</v>
      </c>
      <c r="C599" s="1">
        <v>45881.333229166703</v>
      </c>
      <c r="D599" t="s">
        <v>19</v>
      </c>
      <c r="E599" t="s">
        <v>25</v>
      </c>
      <c r="F599" s="2">
        <v>17808</v>
      </c>
      <c r="G599" s="2" t="str">
        <f>VLOOKUP(F599,Produtos!A:B,2,FALSE)</f>
        <v>BUDWEISER OW 330ML CX C 24</v>
      </c>
      <c r="H599" t="s">
        <v>473</v>
      </c>
      <c r="I59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9" s="9" t="str">
        <f>VLOOKUP(Table1[[#This Row],[Área avaliada]],Endereços!A:B,2,0)</f>
        <v>Área Azul</v>
      </c>
      <c r="K599" t="str">
        <f>VLOOKUP(Table1[[#This Row],[Nome do avaliador ]],M:N,2,0)</f>
        <v>A</v>
      </c>
    </row>
    <row r="600" spans="1:11" x14ac:dyDescent="0.3">
      <c r="A600">
        <v>599</v>
      </c>
      <c r="B600" s="1">
        <v>45881.334143518499</v>
      </c>
      <c r="C600" s="1">
        <v>45881.334560185198</v>
      </c>
      <c r="D600" t="s">
        <v>19</v>
      </c>
      <c r="E600" t="s">
        <v>23</v>
      </c>
      <c r="F600" s="2">
        <v>9084</v>
      </c>
      <c r="G600" s="2" t="str">
        <f>VLOOKUP(F600,Produtos!A:B,2,FALSE)</f>
        <v>GUARANA CHP ANTARCT LT350ML SH C/12 NPAL</v>
      </c>
      <c r="H600" t="s">
        <v>473</v>
      </c>
      <c r="I60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0" s="9" t="str">
        <f>VLOOKUP(Table1[[#This Row],[Área avaliada]],Endereços!A:B,2,0)</f>
        <v>Área Azul</v>
      </c>
      <c r="K600" t="str">
        <f>VLOOKUP(Table1[[#This Row],[Nome do avaliador ]],M:N,2,0)</f>
        <v>A</v>
      </c>
    </row>
    <row r="601" spans="1:11" x14ac:dyDescent="0.3">
      <c r="A601">
        <v>600</v>
      </c>
      <c r="B601" s="1">
        <v>45881.336168981499</v>
      </c>
      <c r="C601" s="1">
        <v>45881.336678240703</v>
      </c>
      <c r="D601" t="s">
        <v>19</v>
      </c>
      <c r="E601" t="s">
        <v>23</v>
      </c>
      <c r="F601" s="2">
        <v>9069</v>
      </c>
      <c r="G601" s="2" t="str">
        <f>VLOOKUP(F601,Produtos!A:B,2,FALSE)</f>
        <v>BRAHMA CHOPP LATA 350ML SH C/12 NPAL</v>
      </c>
      <c r="H601" t="s">
        <v>473</v>
      </c>
      <c r="I60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1" s="9" t="str">
        <f>VLOOKUP(Table1[[#This Row],[Área avaliada]],Endereços!A:B,2,0)</f>
        <v>Área Azul</v>
      </c>
      <c r="K601" t="str">
        <f>VLOOKUP(Table1[[#This Row],[Nome do avaliador ]],M:N,2,0)</f>
        <v>A</v>
      </c>
    </row>
    <row r="602" spans="1:11" x14ac:dyDescent="0.3">
      <c r="A602">
        <v>601</v>
      </c>
      <c r="B602" s="1">
        <v>45881.341921296298</v>
      </c>
      <c r="C602" s="1">
        <v>45881.344340277799</v>
      </c>
      <c r="D602" t="s">
        <v>28</v>
      </c>
      <c r="E602" t="s">
        <v>23</v>
      </c>
      <c r="F602" s="2">
        <v>17797</v>
      </c>
      <c r="G602" s="2" t="str">
        <f>VLOOKUP(F602,Produtos!A:B,2,FALSE)</f>
        <v>BRAHMA CHOPP LATA 350ML SH 18 MULTIPACK</v>
      </c>
      <c r="H602" t="s">
        <v>475</v>
      </c>
      <c r="I60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2" s="9" t="str">
        <f>VLOOKUP(Table1[[#This Row],[Área avaliada]],Endereços!A:B,2,0)</f>
        <v>Área Azul</v>
      </c>
      <c r="K602" t="str">
        <f>VLOOKUP(Table1[[#This Row],[Nome do avaliador ]],M:N,2,0)</f>
        <v>A</v>
      </c>
    </row>
    <row r="603" spans="1:11" x14ac:dyDescent="0.3">
      <c r="A603">
        <v>602</v>
      </c>
      <c r="B603" s="1">
        <v>45881.345844907402</v>
      </c>
      <c r="C603" s="1">
        <v>45881.346458333297</v>
      </c>
      <c r="D603" t="s">
        <v>17</v>
      </c>
      <c r="E603" t="s">
        <v>23</v>
      </c>
      <c r="F603" s="2">
        <v>23216</v>
      </c>
      <c r="G603" s="2" t="str">
        <f>VLOOKUP(F603,Produtos!A:B,2,FALSE)</f>
        <v>PATAGONIA IPA LATA 473ML 6PACK CARTAO</v>
      </c>
      <c r="H603" t="s">
        <v>475</v>
      </c>
      <c r="I60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3" s="9" t="str">
        <f>VLOOKUP(Table1[[#This Row],[Área avaliada]],Endereços!A:B,2,0)</f>
        <v>Área Azul</v>
      </c>
      <c r="K603" t="s">
        <v>510</v>
      </c>
    </row>
    <row r="604" spans="1:11" x14ac:dyDescent="0.3">
      <c r="A604">
        <v>603</v>
      </c>
      <c r="B604" s="1">
        <v>45881.348287036999</v>
      </c>
      <c r="C604" s="1">
        <v>45881.349120370403</v>
      </c>
      <c r="D604" t="s">
        <v>28</v>
      </c>
      <c r="E604" t="s">
        <v>23</v>
      </c>
      <c r="F604" s="2">
        <v>9091</v>
      </c>
      <c r="G604" s="2" t="str">
        <f>VLOOKUP(F604,Produtos!A:B,2,FALSE)</f>
        <v>TONICA ANTARCTICA LT 350ML SH C/12 NPAL</v>
      </c>
      <c r="H604" t="s">
        <v>473</v>
      </c>
      <c r="I60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4" s="9" t="str">
        <f>VLOOKUP(Table1[[#This Row],[Área avaliada]],Endereços!A:B,2,0)</f>
        <v>Área Azul</v>
      </c>
      <c r="K604" t="str">
        <f>VLOOKUP(Table1[[#This Row],[Nome do avaliador ]],M:N,2,0)</f>
        <v>A</v>
      </c>
    </row>
    <row r="605" spans="1:11" x14ac:dyDescent="0.3">
      <c r="A605">
        <v>604</v>
      </c>
      <c r="B605" s="1">
        <v>45881.5455671296</v>
      </c>
      <c r="C605" s="1">
        <v>45881.5460185185</v>
      </c>
      <c r="D605" t="s">
        <v>19</v>
      </c>
      <c r="E605" t="s">
        <v>23</v>
      </c>
      <c r="F605" s="2">
        <v>9096</v>
      </c>
      <c r="G605" s="2" t="str">
        <f>VLOOKUP(F605,Produtos!A:B,2,FALSE)</f>
        <v>PEPSI COLA LATA 350ML SH C/12 NPAL</v>
      </c>
      <c r="H605" t="s">
        <v>490</v>
      </c>
      <c r="I6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5" s="9" t="str">
        <f>VLOOKUP(Table1[[#This Row],[Área avaliada]],Endereços!A:B,2,0)</f>
        <v>Área Azul</v>
      </c>
      <c r="K605" t="str">
        <f>VLOOKUP(Table1[[#This Row],[Nome do avaliador ]],M:N,2,0)</f>
        <v>A</v>
      </c>
    </row>
    <row r="606" spans="1:11" x14ac:dyDescent="0.3">
      <c r="A606">
        <v>605</v>
      </c>
      <c r="B606" s="1">
        <v>45882.431898148097</v>
      </c>
      <c r="C606" s="1">
        <v>45882.432546296302</v>
      </c>
      <c r="D606" t="s">
        <v>31</v>
      </c>
      <c r="E606" t="s">
        <v>23</v>
      </c>
      <c r="F606" s="2">
        <v>18490</v>
      </c>
      <c r="G606" s="2" t="str">
        <f>VLOOKUP(F606,Produtos!A:B,2,FALSE)</f>
        <v>PATAGONIA AMB LAG NAC LATA 473ML 6PACK</v>
      </c>
      <c r="H606" t="s">
        <v>475</v>
      </c>
      <c r="I6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6" s="9" t="str">
        <f>VLOOKUP(Table1[[#This Row],[Área avaliada]],Endereços!A:B,2,0)</f>
        <v>Área Azul</v>
      </c>
      <c r="K606" t="str">
        <f>VLOOKUP(Table1[[#This Row],[Nome do avaliador ]],M:N,2,0)</f>
        <v>B</v>
      </c>
    </row>
    <row r="607" spans="1:11" x14ac:dyDescent="0.3">
      <c r="A607">
        <v>606</v>
      </c>
      <c r="B607" s="1">
        <v>45882.432557870401</v>
      </c>
      <c r="C607" s="1">
        <v>45882.433113425897</v>
      </c>
      <c r="D607" t="s">
        <v>17</v>
      </c>
      <c r="E607" t="s">
        <v>23</v>
      </c>
      <c r="F607" s="2">
        <v>20651</v>
      </c>
      <c r="G607" s="2" t="str">
        <f>VLOOKUP(F607,Produtos!A:B,2,FALSE)</f>
        <v>CORONA N LT SLEEK 350ML CX 8</v>
      </c>
      <c r="H607" t="s">
        <v>475</v>
      </c>
      <c r="I6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7" s="9" t="str">
        <f>VLOOKUP(Table1[[#This Row],[Área avaliada]],Endereços!A:B,2,0)</f>
        <v>Área Azul</v>
      </c>
      <c r="K607" t="s">
        <v>510</v>
      </c>
    </row>
    <row r="608" spans="1:11" x14ac:dyDescent="0.3">
      <c r="A608">
        <v>607</v>
      </c>
      <c r="B608" s="1">
        <v>45882.752094907402</v>
      </c>
      <c r="C608" s="1">
        <v>45882.7527430556</v>
      </c>
      <c r="D608" t="s">
        <v>17</v>
      </c>
      <c r="E608" t="s">
        <v>23</v>
      </c>
      <c r="F608" s="2">
        <v>20651</v>
      </c>
      <c r="G608" s="2" t="str">
        <f>VLOOKUP(F608,Produtos!A:B,2,FALSE)</f>
        <v>CORONA N LT SLEEK 350ML CX 8</v>
      </c>
      <c r="H608" t="s">
        <v>475</v>
      </c>
      <c r="I6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8" s="9" t="str">
        <f>VLOOKUP(Table1[[#This Row],[Área avaliada]],Endereços!A:B,2,0)</f>
        <v>Área Azul</v>
      </c>
      <c r="K608" t="s">
        <v>510</v>
      </c>
    </row>
    <row r="609" spans="1:11" x14ac:dyDescent="0.3">
      <c r="A609">
        <v>608</v>
      </c>
      <c r="B609" s="1">
        <v>45883.418333333299</v>
      </c>
      <c r="C609" s="1">
        <v>45883.418946759302</v>
      </c>
      <c r="D609" t="s">
        <v>17</v>
      </c>
      <c r="E609" t="s">
        <v>33</v>
      </c>
      <c r="F609" s="2">
        <v>9068</v>
      </c>
      <c r="G609" s="2" t="str">
        <f>VLOOKUP(F609,Produtos!A:B,2,FALSE)</f>
        <v>SKOL LATA 350ML SH C/12 NPAL</v>
      </c>
      <c r="H609" t="s">
        <v>475</v>
      </c>
      <c r="I6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9" s="9" t="str">
        <f>VLOOKUP(Table1[[#This Row],[Área avaliada]],Endereços!A:B,2,0)</f>
        <v>Área Verde</v>
      </c>
      <c r="K609" t="s">
        <v>510</v>
      </c>
    </row>
    <row r="610" spans="1:11" x14ac:dyDescent="0.3">
      <c r="A610">
        <v>609</v>
      </c>
      <c r="B610" s="1">
        <v>45883.433043981502</v>
      </c>
      <c r="C610" s="1">
        <v>45883.433622685203</v>
      </c>
      <c r="D610" t="s">
        <v>17</v>
      </c>
      <c r="E610" t="s">
        <v>23</v>
      </c>
      <c r="F610" s="2">
        <v>9069</v>
      </c>
      <c r="G610" s="2" t="str">
        <f>VLOOKUP(F610,Produtos!A:B,2,FALSE)</f>
        <v>BRAHMA CHOPP LATA 350ML SH C/12 NPAL</v>
      </c>
      <c r="H610" t="s">
        <v>475</v>
      </c>
      <c r="I6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0" s="9" t="str">
        <f>VLOOKUP(Table1[[#This Row],[Área avaliada]],Endereços!A:B,2,0)</f>
        <v>Área Azul</v>
      </c>
      <c r="K610" t="s">
        <v>510</v>
      </c>
    </row>
    <row r="611" spans="1:11" x14ac:dyDescent="0.3">
      <c r="A611">
        <v>610</v>
      </c>
      <c r="B611" s="1">
        <v>45883.433634259301</v>
      </c>
      <c r="C611" s="1">
        <v>45883.435717592598</v>
      </c>
      <c r="D611" t="s">
        <v>17</v>
      </c>
      <c r="E611" t="s">
        <v>23</v>
      </c>
      <c r="F611" s="2">
        <v>9069</v>
      </c>
      <c r="G611" s="2" t="str">
        <f>VLOOKUP(F611,Produtos!A:B,2,FALSE)</f>
        <v>BRAHMA CHOPP LATA 350ML SH C/12 NPAL</v>
      </c>
      <c r="H611" t="s">
        <v>475</v>
      </c>
      <c r="I6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1" s="9" t="str">
        <f>VLOOKUP(Table1[[#This Row],[Área avaliada]],Endereços!A:B,2,0)</f>
        <v>Área Azul</v>
      </c>
      <c r="K611" t="s">
        <v>510</v>
      </c>
    </row>
    <row r="612" spans="1:11" x14ac:dyDescent="0.3">
      <c r="A612">
        <v>611</v>
      </c>
      <c r="B612" s="1">
        <v>45883.435740740701</v>
      </c>
      <c r="C612" s="1">
        <v>45883.436400462997</v>
      </c>
      <c r="D612" t="s">
        <v>17</v>
      </c>
      <c r="E612" t="s">
        <v>23</v>
      </c>
      <c r="F612" s="2">
        <v>18765</v>
      </c>
      <c r="G612" s="2" t="str">
        <f>VLOOKUP(F612,Produtos!A:B,2,FALSE)</f>
        <v>PATAGONIA WEISSE NAC LATA 473ML 6 PACK</v>
      </c>
      <c r="H612" t="s">
        <v>475</v>
      </c>
      <c r="I6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2" s="9" t="str">
        <f>VLOOKUP(Table1[[#This Row],[Área avaliada]],Endereços!A:B,2,0)</f>
        <v>Área Azul</v>
      </c>
      <c r="K612" t="s">
        <v>510</v>
      </c>
    </row>
    <row r="613" spans="1:11" x14ac:dyDescent="0.3">
      <c r="A613">
        <v>612</v>
      </c>
      <c r="B613" s="1">
        <v>45883.542881944399</v>
      </c>
      <c r="C613" s="1">
        <v>45883.543576388904</v>
      </c>
      <c r="D613" t="s">
        <v>19</v>
      </c>
      <c r="E613" t="s">
        <v>23</v>
      </c>
      <c r="F613" s="2">
        <v>9069</v>
      </c>
      <c r="G613" s="2" t="str">
        <f>VLOOKUP(F613,Produtos!A:B,2,FALSE)</f>
        <v>BRAHMA CHOPP LATA 350ML SH C/12 NPAL</v>
      </c>
      <c r="H613" t="s">
        <v>473</v>
      </c>
      <c r="I6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3" s="9" t="str">
        <f>VLOOKUP(Table1[[#This Row],[Área avaliada]],Endereços!A:B,2,0)</f>
        <v>Área Azul</v>
      </c>
      <c r="K613" t="str">
        <f>VLOOKUP(Table1[[#This Row],[Nome do avaliador ]],M:N,2,0)</f>
        <v>A</v>
      </c>
    </row>
    <row r="614" spans="1:11" x14ac:dyDescent="0.3">
      <c r="A614">
        <v>613</v>
      </c>
      <c r="B614" s="1">
        <v>45883.545196759304</v>
      </c>
      <c r="C614" s="1">
        <v>45883.5456134259</v>
      </c>
      <c r="D614" t="s">
        <v>19</v>
      </c>
      <c r="E614" t="s">
        <v>23</v>
      </c>
      <c r="F614" s="2">
        <v>9069</v>
      </c>
      <c r="G614" s="2" t="str">
        <f>VLOOKUP(F614,Produtos!A:B,2,FALSE)</f>
        <v>BRAHMA CHOPP LATA 350ML SH C/12 NPAL</v>
      </c>
      <c r="H614" t="s">
        <v>473</v>
      </c>
      <c r="I6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4" s="9" t="str">
        <f>VLOOKUP(Table1[[#This Row],[Área avaliada]],Endereços!A:B,2,0)</f>
        <v>Área Azul</v>
      </c>
      <c r="K614" t="str">
        <f>VLOOKUP(Table1[[#This Row],[Nome do avaliador ]],M:N,2,0)</f>
        <v>A</v>
      </c>
    </row>
    <row r="615" spans="1:11" x14ac:dyDescent="0.3">
      <c r="A615">
        <v>614</v>
      </c>
      <c r="B615" s="1">
        <v>45883.548368055599</v>
      </c>
      <c r="C615" s="1">
        <v>45883.548796296302</v>
      </c>
      <c r="D615" t="s">
        <v>19</v>
      </c>
      <c r="E615" t="s">
        <v>23</v>
      </c>
      <c r="F615" s="2">
        <v>33818</v>
      </c>
      <c r="G615" s="2" t="str">
        <f>VLOOKUP(F615,Produtos!A:B,2,FALSE)</f>
        <v>ORIGINAL LT 350ML SH C/12 NP MULTIPACK</v>
      </c>
      <c r="H615" t="s">
        <v>473</v>
      </c>
      <c r="I6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5" s="9" t="str">
        <f>VLOOKUP(Table1[[#This Row],[Área avaliada]],Endereços!A:B,2,0)</f>
        <v>Área Azul</v>
      </c>
      <c r="K615" t="str">
        <f>VLOOKUP(Table1[[#This Row],[Nome do avaliador ]],M:N,2,0)</f>
        <v>A</v>
      </c>
    </row>
    <row r="616" spans="1:11" x14ac:dyDescent="0.3">
      <c r="A616">
        <v>615</v>
      </c>
      <c r="B616" s="1">
        <v>45883.623842592599</v>
      </c>
      <c r="C616" s="1">
        <v>45883.624247685198</v>
      </c>
      <c r="D616" t="s">
        <v>17</v>
      </c>
      <c r="E616" t="s">
        <v>23</v>
      </c>
      <c r="F616" s="2">
        <v>504</v>
      </c>
      <c r="G616" s="2" t="str">
        <f>VLOOKUP(F616,Produtos!A:B,2,FALSE)</f>
        <v>PEPSI COLA PET 2L CAIXA C/6</v>
      </c>
      <c r="H616" t="s">
        <v>475</v>
      </c>
      <c r="I6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6" s="9" t="str">
        <f>VLOOKUP(Table1[[#This Row],[Área avaliada]],Endereços!A:B,2,0)</f>
        <v>Área Azul</v>
      </c>
      <c r="K616" t="s">
        <v>510</v>
      </c>
    </row>
    <row r="617" spans="1:11" x14ac:dyDescent="0.3">
      <c r="A617">
        <v>616</v>
      </c>
      <c r="B617" s="1">
        <v>45883.625682870399</v>
      </c>
      <c r="C617" s="1">
        <v>45883.626284722202</v>
      </c>
      <c r="D617" t="s">
        <v>17</v>
      </c>
      <c r="E617" t="s">
        <v>23</v>
      </c>
      <c r="F617" s="2">
        <v>9093</v>
      </c>
      <c r="G617" s="2" t="str">
        <f>VLOOKUP(F617,Produtos!A:B,2,FALSE)</f>
        <v>PEPSI TWIST LATA 350ML SH C/12 NPAL</v>
      </c>
      <c r="H617" t="s">
        <v>475</v>
      </c>
      <c r="I6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7" s="9" t="str">
        <f>VLOOKUP(Table1[[#This Row],[Área avaliada]],Endereços!A:B,2,0)</f>
        <v>Área Azul</v>
      </c>
      <c r="K617" t="s">
        <v>510</v>
      </c>
    </row>
    <row r="618" spans="1:11" x14ac:dyDescent="0.3">
      <c r="A618">
        <v>617</v>
      </c>
      <c r="B618" s="1">
        <v>45883.626944444397</v>
      </c>
      <c r="C618" s="1">
        <v>45883.627476851798</v>
      </c>
      <c r="D618" t="s">
        <v>17</v>
      </c>
      <c r="E618" t="s">
        <v>23</v>
      </c>
      <c r="F618" s="2">
        <v>9089</v>
      </c>
      <c r="G618" s="2" t="str">
        <f>VLOOKUP(F618,Produtos!A:B,2,FALSE)</f>
        <v>SUKITA LATA 350ML SH C/12 NPAL</v>
      </c>
      <c r="H618" t="s">
        <v>475</v>
      </c>
      <c r="I6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8" s="9" t="str">
        <f>VLOOKUP(Table1[[#This Row],[Área avaliada]],Endereços!A:B,2,0)</f>
        <v>Área Azul</v>
      </c>
      <c r="K618" t="s">
        <v>510</v>
      </c>
    </row>
    <row r="619" spans="1:11" x14ac:dyDescent="0.3">
      <c r="A619">
        <v>618</v>
      </c>
      <c r="B619" s="1">
        <v>45884.351400462998</v>
      </c>
      <c r="C619" s="1">
        <v>45884.351875</v>
      </c>
      <c r="D619" t="s">
        <v>17</v>
      </c>
      <c r="E619" t="s">
        <v>23</v>
      </c>
      <c r="F619" s="2">
        <v>9067</v>
      </c>
      <c r="G619" s="2" t="str">
        <f>VLOOKUP(F619,Produtos!A:B,2,FALSE)</f>
        <v>ANTARCTICA PILSEN LATA 350ML SH C/12 NPA</v>
      </c>
      <c r="H619" t="s">
        <v>475</v>
      </c>
      <c r="I6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9" s="9" t="str">
        <f>VLOOKUP(Table1[[#This Row],[Área avaliada]],Endereços!A:B,2,0)</f>
        <v>Área Azul</v>
      </c>
      <c r="K619" t="s">
        <v>510</v>
      </c>
    </row>
    <row r="620" spans="1:11" x14ac:dyDescent="0.3">
      <c r="A620">
        <v>619</v>
      </c>
      <c r="B620" s="1">
        <v>45884.351898148103</v>
      </c>
      <c r="C620" s="1">
        <v>45884.352488425902</v>
      </c>
      <c r="D620" t="s">
        <v>17</v>
      </c>
      <c r="E620" t="s">
        <v>23</v>
      </c>
      <c r="F620" s="2">
        <v>9093</v>
      </c>
      <c r="G620" s="2" t="str">
        <f>VLOOKUP(F620,Produtos!A:B,2,FALSE)</f>
        <v>PEPSI TWIST LATA 350ML SH C/12 NPAL</v>
      </c>
      <c r="H620" t="s">
        <v>475</v>
      </c>
      <c r="I6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0" s="9" t="str">
        <f>VLOOKUP(Table1[[#This Row],[Área avaliada]],Endereços!A:B,2,0)</f>
        <v>Área Azul</v>
      </c>
      <c r="K620" t="s">
        <v>510</v>
      </c>
    </row>
    <row r="621" spans="1:11" x14ac:dyDescent="0.3">
      <c r="A621">
        <v>620</v>
      </c>
      <c r="B621" s="1">
        <v>45884.352500000001</v>
      </c>
      <c r="C621" s="1">
        <v>45884.352997685201</v>
      </c>
      <c r="D621" t="s">
        <v>17</v>
      </c>
      <c r="E621" t="s">
        <v>23</v>
      </c>
      <c r="F621" s="2">
        <v>19729</v>
      </c>
      <c r="G621" s="2" t="str">
        <f>VLOOKUP(F621,Produtos!A:B,2,FALSE)</f>
        <v>STELLA ARTOIS LT SLEEK 350ML C 8 CX CART</v>
      </c>
      <c r="H621" t="s">
        <v>475</v>
      </c>
      <c r="I6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1" s="9" t="str">
        <f>VLOOKUP(Table1[[#This Row],[Área avaliada]],Endereços!A:B,2,0)</f>
        <v>Área Azul</v>
      </c>
      <c r="K621" t="s">
        <v>510</v>
      </c>
    </row>
    <row r="622" spans="1:11" x14ac:dyDescent="0.3">
      <c r="A622">
        <v>621</v>
      </c>
      <c r="B622" s="1">
        <v>45885.451898148101</v>
      </c>
      <c r="C622" s="1">
        <v>45885.4523611111</v>
      </c>
      <c r="D622" t="s">
        <v>17</v>
      </c>
      <c r="E622" t="s">
        <v>23</v>
      </c>
      <c r="F622" s="2">
        <v>20651</v>
      </c>
      <c r="G622" s="2" t="str">
        <f>VLOOKUP(F622,Produtos!A:B,2,FALSE)</f>
        <v>CORONA N LT SLEEK 350ML CX 8</v>
      </c>
      <c r="H622" t="s">
        <v>475</v>
      </c>
      <c r="I6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2" s="9" t="str">
        <f>VLOOKUP(Table1[[#This Row],[Área avaliada]],Endereços!A:B,2,0)</f>
        <v>Área Azul</v>
      </c>
      <c r="K622" t="s">
        <v>510</v>
      </c>
    </row>
    <row r="623" spans="1:11" x14ac:dyDescent="0.3">
      <c r="A623">
        <v>622</v>
      </c>
      <c r="B623" s="1">
        <v>45885.452384259297</v>
      </c>
      <c r="C623" s="1">
        <v>45885.4530324074</v>
      </c>
      <c r="D623" t="s">
        <v>17</v>
      </c>
      <c r="E623" t="s">
        <v>23</v>
      </c>
      <c r="F623" s="2">
        <v>9092</v>
      </c>
      <c r="G623" s="2" t="str">
        <f>VLOOKUP(F623,Produtos!A:B,2,FALSE)</f>
        <v>TONICA ANTARCTICA DIET LT350MLSHC/12 PAL</v>
      </c>
      <c r="H623" t="s">
        <v>475</v>
      </c>
      <c r="I6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3" s="9" t="str">
        <f>VLOOKUP(Table1[[#This Row],[Área avaliada]],Endereços!A:B,2,0)</f>
        <v>Área Azul</v>
      </c>
      <c r="K623" t="s">
        <v>510</v>
      </c>
    </row>
    <row r="624" spans="1:11" x14ac:dyDescent="0.3">
      <c r="A624">
        <v>623</v>
      </c>
      <c r="B624" s="1">
        <v>45885.453113425901</v>
      </c>
      <c r="C624" s="1">
        <v>45885.4536689815</v>
      </c>
      <c r="D624" t="s">
        <v>19</v>
      </c>
      <c r="E624" t="s">
        <v>23</v>
      </c>
      <c r="F624" s="2">
        <v>9069</v>
      </c>
      <c r="G624" s="2" t="str">
        <f>VLOOKUP(F624,Produtos!A:B,2,FALSE)</f>
        <v>BRAHMA CHOPP LATA 350ML SH C/12 NPAL</v>
      </c>
      <c r="H624" t="s">
        <v>473</v>
      </c>
      <c r="I6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4" s="9" t="str">
        <f>VLOOKUP(Table1[[#This Row],[Área avaliada]],Endereços!A:B,2,0)</f>
        <v>Área Azul</v>
      </c>
      <c r="K624" t="str">
        <f>VLOOKUP(Table1[[#This Row],[Nome do avaliador ]],M:N,2,0)</f>
        <v>A</v>
      </c>
    </row>
    <row r="625" spans="1:11" x14ac:dyDescent="0.3">
      <c r="A625">
        <v>624</v>
      </c>
      <c r="B625" s="1">
        <v>45885.453761574099</v>
      </c>
      <c r="C625" s="1">
        <v>45885.454467592601</v>
      </c>
      <c r="D625" t="s">
        <v>17</v>
      </c>
      <c r="E625" t="s">
        <v>23</v>
      </c>
      <c r="F625" s="2">
        <v>18137</v>
      </c>
      <c r="G625" s="2" t="str">
        <f>VLOOKUP(F625,Produtos!A:B,2,FALSE)</f>
        <v>GUARANA CHP ANTARCTICA PET 3L C4 SH LISO</v>
      </c>
      <c r="H625" t="s">
        <v>489</v>
      </c>
      <c r="I6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5" s="9" t="str">
        <f>VLOOKUP(Table1[[#This Row],[Área avaliada]],Endereços!A:B,2,0)</f>
        <v>Área Azul</v>
      </c>
      <c r="K625" t="s">
        <v>510</v>
      </c>
    </row>
    <row r="626" spans="1:11" x14ac:dyDescent="0.3">
      <c r="A626">
        <v>625</v>
      </c>
      <c r="B626" s="1">
        <v>45885.454907407402</v>
      </c>
      <c r="C626" s="1">
        <v>45885.455439814803</v>
      </c>
      <c r="D626" t="s">
        <v>19</v>
      </c>
      <c r="E626" t="s">
        <v>25</v>
      </c>
      <c r="F626" s="2">
        <v>9069</v>
      </c>
      <c r="G626" s="2" t="str">
        <f>VLOOKUP(F626,Produtos!A:B,2,FALSE)</f>
        <v>BRAHMA CHOPP LATA 350ML SH C/12 NPAL</v>
      </c>
      <c r="H626" t="s">
        <v>473</v>
      </c>
      <c r="I6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6" s="9" t="str">
        <f>VLOOKUP(Table1[[#This Row],[Área avaliada]],Endereços!A:B,2,0)</f>
        <v>Área Azul</v>
      </c>
      <c r="K626" t="str">
        <f>VLOOKUP(Table1[[#This Row],[Nome do avaliador ]],M:N,2,0)</f>
        <v>A</v>
      </c>
    </row>
    <row r="627" spans="1:11" x14ac:dyDescent="0.3">
      <c r="A627">
        <v>626</v>
      </c>
      <c r="B627" s="1">
        <v>45885.466898148101</v>
      </c>
      <c r="C627" s="1">
        <v>45885.4674421296</v>
      </c>
      <c r="D627" t="s">
        <v>7</v>
      </c>
      <c r="E627" t="s">
        <v>15</v>
      </c>
      <c r="G627" t="e">
        <f>VLOOKUP(F627,Produtos!A:B,2,FALSE)</f>
        <v>#N/A</v>
      </c>
      <c r="H627" t="s">
        <v>477</v>
      </c>
      <c r="I6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7" s="9" t="str">
        <f>VLOOKUP(Table1[[#This Row],[Área avaliada]],Endereços!A:B,2,0)</f>
        <v>Picking Alto Giro</v>
      </c>
      <c r="K627" t="str">
        <f>VLOOKUP(Table1[[#This Row],[Nome do avaliador ]],M:N,2,0)</f>
        <v>A</v>
      </c>
    </row>
    <row r="628" spans="1:11" x14ac:dyDescent="0.3">
      <c r="A628">
        <v>627</v>
      </c>
      <c r="B628" s="1">
        <v>45885.498391203699</v>
      </c>
      <c r="C628" s="1">
        <v>45885.498888888898</v>
      </c>
      <c r="D628" t="s">
        <v>17</v>
      </c>
      <c r="E628" t="s">
        <v>25</v>
      </c>
      <c r="F628" s="2">
        <v>9068</v>
      </c>
      <c r="G628" s="2" t="str">
        <f>VLOOKUP(F628,Produtos!A:B,2,FALSE)</f>
        <v>SKOL LATA 350ML SH C/12 NPAL</v>
      </c>
      <c r="H628" t="s">
        <v>475</v>
      </c>
      <c r="I6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8" s="9" t="str">
        <f>VLOOKUP(Table1[[#This Row],[Área avaliada]],Endereços!A:B,2,0)</f>
        <v>Área Azul</v>
      </c>
      <c r="K628" t="s">
        <v>510</v>
      </c>
    </row>
    <row r="629" spans="1:11" x14ac:dyDescent="0.3">
      <c r="A629">
        <v>628</v>
      </c>
      <c r="B629" s="1">
        <v>45887.369895833297</v>
      </c>
      <c r="C629" s="1">
        <v>45887.370462963001</v>
      </c>
      <c r="D629" t="s">
        <v>17</v>
      </c>
      <c r="E629" t="s">
        <v>23</v>
      </c>
      <c r="F629" s="2">
        <v>9071</v>
      </c>
      <c r="G629" s="2" t="str">
        <f>VLOOKUP(F629,Produtos!A:B,2,FALSE)</f>
        <v>CARACU LATA 350ML SH C/12 NPAL</v>
      </c>
      <c r="H629" t="s">
        <v>475</v>
      </c>
      <c r="I6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9" s="9" t="str">
        <f>VLOOKUP(Table1[[#This Row],[Área avaliada]],Endereços!A:B,2,0)</f>
        <v>Área Azul</v>
      </c>
      <c r="K629" t="s">
        <v>510</v>
      </c>
    </row>
    <row r="630" spans="1:11" x14ac:dyDescent="0.3">
      <c r="A630">
        <v>629</v>
      </c>
      <c r="B630" s="1">
        <v>45887.431782407402</v>
      </c>
      <c r="C630" s="1">
        <v>45887.432372685202</v>
      </c>
      <c r="D630" t="s">
        <v>19</v>
      </c>
      <c r="E630" t="s">
        <v>23</v>
      </c>
      <c r="F630" s="2">
        <v>9068</v>
      </c>
      <c r="G630" s="2" t="str">
        <f>VLOOKUP(F630,Produtos!A:B,2,FALSE)</f>
        <v>SKOL LATA 350ML SH C/12 NPAL</v>
      </c>
      <c r="H630" t="s">
        <v>473</v>
      </c>
      <c r="I6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0" s="9" t="str">
        <f>VLOOKUP(Table1[[#This Row],[Área avaliada]],Endereços!A:B,2,0)</f>
        <v>Área Azul</v>
      </c>
      <c r="K630" t="str">
        <f>VLOOKUP(Table1[[#This Row],[Nome do avaliador ]],M:N,2,0)</f>
        <v>A</v>
      </c>
    </row>
    <row r="631" spans="1:11" x14ac:dyDescent="0.3">
      <c r="A631">
        <v>630</v>
      </c>
      <c r="B631" s="1">
        <v>45887.434918981497</v>
      </c>
      <c r="C631" s="1">
        <v>45887.435474537</v>
      </c>
      <c r="D631" t="s">
        <v>19</v>
      </c>
      <c r="E631" t="s">
        <v>20</v>
      </c>
      <c r="F631" s="2">
        <v>17797</v>
      </c>
      <c r="G631" s="2" t="str">
        <f>VLOOKUP(F631,Produtos!A:B,2,FALSE)</f>
        <v>BRAHMA CHOPP LATA 350ML SH 18 MULTIPACK</v>
      </c>
      <c r="H631" t="s">
        <v>473</v>
      </c>
      <c r="I6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1" s="9" t="str">
        <f>VLOOKUP(Table1[[#This Row],[Área avaliada]],Endereços!A:B,2,0)</f>
        <v>Área Azul</v>
      </c>
      <c r="K631" t="str">
        <f>VLOOKUP(Table1[[#This Row],[Nome do avaliador ]],M:N,2,0)</f>
        <v>A</v>
      </c>
    </row>
    <row r="632" spans="1:11" x14ac:dyDescent="0.3">
      <c r="A632">
        <v>631</v>
      </c>
      <c r="B632" s="1">
        <v>45887.435127314799</v>
      </c>
      <c r="C632" s="1">
        <v>45887.4356134259</v>
      </c>
      <c r="D632" t="s">
        <v>17</v>
      </c>
      <c r="E632" t="s">
        <v>23</v>
      </c>
      <c r="F632" s="2">
        <v>17797</v>
      </c>
      <c r="G632" s="2" t="str">
        <f>VLOOKUP(F632,Produtos!A:B,2,FALSE)</f>
        <v>BRAHMA CHOPP LATA 350ML SH 18 MULTIPACK</v>
      </c>
      <c r="H632" t="s">
        <v>475</v>
      </c>
      <c r="I6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2" s="9" t="str">
        <f>VLOOKUP(Table1[[#This Row],[Área avaliada]],Endereços!A:B,2,0)</f>
        <v>Área Azul</v>
      </c>
      <c r="K632" t="s">
        <v>510</v>
      </c>
    </row>
    <row r="633" spans="1:11" x14ac:dyDescent="0.3">
      <c r="A633">
        <v>632</v>
      </c>
      <c r="B633" s="1">
        <v>45887.559675925899</v>
      </c>
      <c r="C633" s="1">
        <v>45887.560509259303</v>
      </c>
      <c r="D633" t="s">
        <v>19</v>
      </c>
      <c r="E633" t="s">
        <v>20</v>
      </c>
      <c r="F633" s="2">
        <v>504</v>
      </c>
      <c r="G633" s="2" t="str">
        <f>VLOOKUP(F633,Produtos!A:B,2,FALSE)</f>
        <v>PEPSI COLA PET 2L CAIXA C/6</v>
      </c>
      <c r="H633" t="s">
        <v>489</v>
      </c>
      <c r="I6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3" s="9" t="str">
        <f>VLOOKUP(Table1[[#This Row],[Área avaliada]],Endereços!A:B,2,0)</f>
        <v>Área Azul</v>
      </c>
      <c r="K633" t="str">
        <f>VLOOKUP(Table1[[#This Row],[Nome do avaliador ]],M:N,2,0)</f>
        <v>A</v>
      </c>
    </row>
    <row r="634" spans="1:11" x14ac:dyDescent="0.3">
      <c r="A634">
        <v>633</v>
      </c>
      <c r="B634" s="1">
        <v>45888.333854166704</v>
      </c>
      <c r="C634" s="1">
        <v>45888.334305555603</v>
      </c>
      <c r="D634" t="s">
        <v>19</v>
      </c>
      <c r="E634" t="s">
        <v>23</v>
      </c>
      <c r="F634" s="2">
        <v>9068</v>
      </c>
      <c r="G634" s="2" t="str">
        <f>VLOOKUP(F634,Produtos!A:B,2,FALSE)</f>
        <v>SKOL LATA 350ML SH C/12 NPAL</v>
      </c>
      <c r="H634" t="s">
        <v>473</v>
      </c>
      <c r="I6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4" s="9" t="str">
        <f>VLOOKUP(Table1[[#This Row],[Área avaliada]],Endereços!A:B,2,0)</f>
        <v>Área Azul</v>
      </c>
      <c r="K634" t="str">
        <f>VLOOKUP(Table1[[#This Row],[Nome do avaliador ]],M:N,2,0)</f>
        <v>A</v>
      </c>
    </row>
    <row r="635" spans="1:11" x14ac:dyDescent="0.3">
      <c r="A635">
        <v>634</v>
      </c>
      <c r="B635" s="1">
        <v>45888.335358796299</v>
      </c>
      <c r="C635" s="1">
        <v>45888.335856481499</v>
      </c>
      <c r="D635" t="s">
        <v>19</v>
      </c>
      <c r="E635" t="s">
        <v>23</v>
      </c>
      <c r="F635" s="2">
        <v>9069</v>
      </c>
      <c r="G635" s="2" t="str">
        <f>VLOOKUP(F635,Produtos!A:B,2,FALSE)</f>
        <v>BRAHMA CHOPP LATA 350ML SH C/12 NPAL</v>
      </c>
      <c r="H635" t="s">
        <v>473</v>
      </c>
      <c r="I6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5" s="9" t="str">
        <f>VLOOKUP(Table1[[#This Row],[Área avaliada]],Endereços!A:B,2,0)</f>
        <v>Área Azul</v>
      </c>
      <c r="K635" t="str">
        <f>VLOOKUP(Table1[[#This Row],[Nome do avaliador ]],M:N,2,0)</f>
        <v>A</v>
      </c>
    </row>
    <row r="636" spans="1:11" x14ac:dyDescent="0.3">
      <c r="A636">
        <v>635</v>
      </c>
      <c r="B636" s="1">
        <v>45888.339293981502</v>
      </c>
      <c r="C636" s="1">
        <v>45888.339895833298</v>
      </c>
      <c r="D636" t="s">
        <v>17</v>
      </c>
      <c r="E636" t="s">
        <v>33</v>
      </c>
      <c r="F636" s="2">
        <v>9320</v>
      </c>
      <c r="G636" s="2" t="str">
        <f>VLOOKUP(F636,Produtos!A:B,2,FALSE)</f>
        <v>BRAHMA CHOPP LT 473ML SH C/12 NPAL</v>
      </c>
      <c r="H636" t="s">
        <v>475</v>
      </c>
      <c r="I6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6" s="9" t="str">
        <f>VLOOKUP(Table1[[#This Row],[Área avaliada]],Endereços!A:B,2,0)</f>
        <v>Área Verde</v>
      </c>
      <c r="K636" t="s">
        <v>510</v>
      </c>
    </row>
    <row r="637" spans="1:11" x14ac:dyDescent="0.3">
      <c r="A637">
        <v>636</v>
      </c>
      <c r="B637" s="1">
        <v>45888.340266203697</v>
      </c>
      <c r="C637" s="1">
        <v>45888.340833333299</v>
      </c>
      <c r="D637" t="s">
        <v>19</v>
      </c>
      <c r="E637" t="s">
        <v>25</v>
      </c>
      <c r="F637" s="2">
        <v>19310</v>
      </c>
      <c r="G637" s="2" t="str">
        <f>VLOOKUP(F637,Produtos!A:B,2,FALSE)</f>
        <v>ORIGINAL LATA 350ML CX CARTAO C/12 NPAL</v>
      </c>
      <c r="H637" t="s">
        <v>473</v>
      </c>
      <c r="I6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7" s="9" t="str">
        <f>VLOOKUP(Table1[[#This Row],[Área avaliada]],Endereços!A:B,2,0)</f>
        <v>Área Azul</v>
      </c>
      <c r="K637" t="str">
        <f>VLOOKUP(Table1[[#This Row],[Nome do avaliador ]],M:N,2,0)</f>
        <v>A</v>
      </c>
    </row>
    <row r="638" spans="1:11" x14ac:dyDescent="0.3">
      <c r="A638">
        <v>637</v>
      </c>
      <c r="B638" s="1">
        <v>45888.342777777798</v>
      </c>
      <c r="C638" s="1">
        <v>45888.3432986111</v>
      </c>
      <c r="D638" t="s">
        <v>17</v>
      </c>
      <c r="E638" t="s">
        <v>20</v>
      </c>
      <c r="F638" s="2">
        <v>9081</v>
      </c>
      <c r="G638" s="2" t="str">
        <f>VLOOKUP(F638,Produtos!A:B,2,FALSE)</f>
        <v>MALZBIER BRAHMA LATA 350ML SH C/12 NPAL</v>
      </c>
      <c r="H638" t="s">
        <v>475</v>
      </c>
      <c r="I6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8" s="9" t="str">
        <f>VLOOKUP(Table1[[#This Row],[Área avaliada]],Endereços!A:B,2,0)</f>
        <v>Área Azul</v>
      </c>
      <c r="K638" t="s">
        <v>510</v>
      </c>
    </row>
    <row r="639" spans="1:11" x14ac:dyDescent="0.3">
      <c r="A639">
        <v>638</v>
      </c>
      <c r="B639" s="1">
        <v>45888.518344907403</v>
      </c>
      <c r="C639" s="1">
        <v>45888.518807870401</v>
      </c>
      <c r="D639" t="s">
        <v>19</v>
      </c>
      <c r="E639" t="s">
        <v>23</v>
      </c>
      <c r="F639" s="2">
        <v>9320</v>
      </c>
      <c r="G639" s="2" t="str">
        <f>VLOOKUP(F639,Produtos!A:B,2,FALSE)</f>
        <v>BRAHMA CHOPP LT 473ML SH C/12 NPAL</v>
      </c>
      <c r="H639" t="s">
        <v>473</v>
      </c>
      <c r="I6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9" s="9" t="str">
        <f>VLOOKUP(Table1[[#This Row],[Área avaliada]],Endereços!A:B,2,0)</f>
        <v>Área Azul</v>
      </c>
      <c r="K639" t="str">
        <f>VLOOKUP(Table1[[#This Row],[Nome do avaliador ]],M:N,2,0)</f>
        <v>A</v>
      </c>
    </row>
    <row r="640" spans="1:11" x14ac:dyDescent="0.3">
      <c r="A640">
        <v>639</v>
      </c>
      <c r="B640" s="1">
        <v>45888.549421296302</v>
      </c>
      <c r="C640" s="1">
        <v>45888.549965277802</v>
      </c>
      <c r="D640" t="s">
        <v>19</v>
      </c>
      <c r="E640" t="s">
        <v>20</v>
      </c>
      <c r="F640" s="2">
        <v>17797</v>
      </c>
      <c r="G640" s="2" t="str">
        <f>VLOOKUP(F640,Produtos!A:B,2,FALSE)</f>
        <v>BRAHMA CHOPP LATA 350ML SH 18 MULTIPACK</v>
      </c>
      <c r="H640" t="s">
        <v>473</v>
      </c>
      <c r="I6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0" s="9" t="str">
        <f>VLOOKUP(Table1[[#This Row],[Área avaliada]],Endereços!A:B,2,0)</f>
        <v>Área Azul</v>
      </c>
      <c r="K640" t="str">
        <f>VLOOKUP(Table1[[#This Row],[Nome do avaliador ]],M:N,2,0)</f>
        <v>A</v>
      </c>
    </row>
    <row r="641" spans="1:11" x14ac:dyDescent="0.3">
      <c r="A641">
        <v>640</v>
      </c>
      <c r="B641" s="1">
        <v>45888.552662037</v>
      </c>
      <c r="C641" s="1">
        <v>45888.553263888898</v>
      </c>
      <c r="D641" t="s">
        <v>19</v>
      </c>
      <c r="E641" t="s">
        <v>25</v>
      </c>
      <c r="F641" s="2">
        <v>371</v>
      </c>
      <c r="G641" s="2" t="str">
        <f>VLOOKUP(F641,Produtos!A:B,2,FALSE)</f>
        <v>MALZBIER BRAHMA LN355ML SIX PAC BAND C/4</v>
      </c>
      <c r="H641" t="s">
        <v>485</v>
      </c>
      <c r="I6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1" s="9" t="str">
        <f>VLOOKUP(Table1[[#This Row],[Área avaliada]],Endereços!A:B,2,0)</f>
        <v>Área Azul</v>
      </c>
      <c r="K641" t="str">
        <f>VLOOKUP(Table1[[#This Row],[Nome do avaliador ]],M:N,2,0)</f>
        <v>A</v>
      </c>
    </row>
    <row r="642" spans="1:11" x14ac:dyDescent="0.3">
      <c r="A642">
        <v>641</v>
      </c>
      <c r="B642" s="1">
        <v>45888.555648148104</v>
      </c>
      <c r="C642" s="1">
        <v>45888.556331018503</v>
      </c>
      <c r="D642" t="s">
        <v>19</v>
      </c>
      <c r="E642" t="s">
        <v>23</v>
      </c>
      <c r="F642" s="2">
        <v>12948</v>
      </c>
      <c r="G642" s="2" t="str">
        <f>VLOOKUP(F642,Produtos!A:B,2,FALSE)</f>
        <v>BRAHMA CHOPP ZERO LATA 350 SH CX C12 NPA</v>
      </c>
      <c r="H642" t="s">
        <v>473</v>
      </c>
      <c r="I6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2" s="9" t="str">
        <f>VLOOKUP(Table1[[#This Row],[Área avaliada]],Endereços!A:B,2,0)</f>
        <v>Área Azul</v>
      </c>
      <c r="K642" t="str">
        <f>VLOOKUP(Table1[[#This Row],[Nome do avaliador ]],M:N,2,0)</f>
        <v>A</v>
      </c>
    </row>
    <row r="643" spans="1:11" x14ac:dyDescent="0.3">
      <c r="A643">
        <v>642</v>
      </c>
      <c r="B643" s="1">
        <v>45888.559074074103</v>
      </c>
      <c r="C643" s="1">
        <v>45888.560011574104</v>
      </c>
      <c r="D643" t="s">
        <v>28</v>
      </c>
      <c r="E643" t="s">
        <v>14</v>
      </c>
      <c r="F643" t="s">
        <v>39</v>
      </c>
      <c r="G643" t="e">
        <f>VLOOKUP(F643,Produtos!A:B,2,FALSE)</f>
        <v>#N/A</v>
      </c>
      <c r="H643" t="s">
        <v>482</v>
      </c>
      <c r="I6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3" s="9" t="str">
        <f>VLOOKUP(Table1[[#This Row],[Área avaliada]],Endereços!A:B,2,0)</f>
        <v>Picking Baixo Giro</v>
      </c>
      <c r="K643" t="str">
        <f>VLOOKUP(Table1[[#This Row],[Nome do avaliador ]],M:N,2,0)</f>
        <v>A</v>
      </c>
    </row>
    <row r="644" spans="1:11" x14ac:dyDescent="0.3">
      <c r="A644">
        <v>643</v>
      </c>
      <c r="B644" s="1">
        <v>45888.613125000003</v>
      </c>
      <c r="C644" s="1">
        <v>45888.613692129598</v>
      </c>
      <c r="D644" t="s">
        <v>17</v>
      </c>
      <c r="E644" t="s">
        <v>23</v>
      </c>
      <c r="F644" s="2">
        <v>21658</v>
      </c>
      <c r="G644" s="2" t="str">
        <f>VLOOKUP(F644,Produtos!A:B,2,FALSE)</f>
        <v>SPATEN N LT SLEEK 350ML CX CART C12</v>
      </c>
      <c r="H644" t="s">
        <v>475</v>
      </c>
      <c r="I6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4" s="9" t="str">
        <f>VLOOKUP(Table1[[#This Row],[Área avaliada]],Endereços!A:B,2,0)</f>
        <v>Área Azul</v>
      </c>
      <c r="K644" t="s">
        <v>510</v>
      </c>
    </row>
    <row r="645" spans="1:11" x14ac:dyDescent="0.3">
      <c r="A645">
        <v>644</v>
      </c>
      <c r="B645" s="1">
        <v>45888.613715277803</v>
      </c>
      <c r="C645" s="1">
        <v>45888.614525463003</v>
      </c>
      <c r="D645" t="s">
        <v>17</v>
      </c>
      <c r="E645" t="s">
        <v>23</v>
      </c>
      <c r="F645" s="2">
        <v>12948</v>
      </c>
      <c r="G645" s="2" t="str">
        <f>VLOOKUP(F645,Produtos!A:B,2,FALSE)</f>
        <v>BRAHMA CHOPP ZERO LATA 350 SH CX C12 NPA</v>
      </c>
      <c r="H645" t="s">
        <v>475</v>
      </c>
      <c r="I6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5" s="9" t="str">
        <f>VLOOKUP(Table1[[#This Row],[Área avaliada]],Endereços!A:B,2,0)</f>
        <v>Área Azul</v>
      </c>
      <c r="K645" t="s">
        <v>510</v>
      </c>
    </row>
    <row r="646" spans="1:11" x14ac:dyDescent="0.3">
      <c r="A646">
        <v>645</v>
      </c>
      <c r="B646" s="1">
        <v>45889.272407407399</v>
      </c>
      <c r="C646" s="1">
        <v>45889.273333333302</v>
      </c>
      <c r="D646" t="s">
        <v>28</v>
      </c>
      <c r="E646" t="s">
        <v>20</v>
      </c>
      <c r="F646" s="2">
        <v>9067</v>
      </c>
      <c r="G646" s="2" t="str">
        <f>VLOOKUP(F646,Produtos!A:B,2,FALSE)</f>
        <v>ANTARCTICA PILSEN LATA 350ML SH C/12 NPA</v>
      </c>
      <c r="H646" t="s">
        <v>482</v>
      </c>
      <c r="I6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6" s="9" t="str">
        <f>VLOOKUP(Table1[[#This Row],[Área avaliada]],Endereços!A:B,2,0)</f>
        <v>Área Azul</v>
      </c>
      <c r="K646" t="str">
        <f>VLOOKUP(Table1[[#This Row],[Nome do avaliador ]],M:N,2,0)</f>
        <v>A</v>
      </c>
    </row>
    <row r="647" spans="1:11" x14ac:dyDescent="0.3">
      <c r="A647">
        <v>646</v>
      </c>
      <c r="B647" s="1">
        <v>45889.280671296299</v>
      </c>
      <c r="C647" s="1">
        <v>45889.281481481499</v>
      </c>
      <c r="D647" t="s">
        <v>28</v>
      </c>
      <c r="E647" t="s">
        <v>20</v>
      </c>
      <c r="F647" s="2">
        <v>21020</v>
      </c>
      <c r="G647" s="2" t="str">
        <f>VLOOKUP(F647,Produtos!A:B,2,FALSE)</f>
        <v>BUDWEISER LT SLEEK 350ML CX CART C12</v>
      </c>
      <c r="H647" t="s">
        <v>482</v>
      </c>
      <c r="I6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7" s="9" t="str">
        <f>VLOOKUP(Table1[[#This Row],[Área avaliada]],Endereços!A:B,2,0)</f>
        <v>Área Azul</v>
      </c>
      <c r="K647" t="str">
        <f>VLOOKUP(Table1[[#This Row],[Nome do avaliador ]],M:N,2,0)</f>
        <v>A</v>
      </c>
    </row>
    <row r="648" spans="1:11" x14ac:dyDescent="0.3">
      <c r="A648">
        <v>647</v>
      </c>
      <c r="B648" s="1">
        <v>45889.299398148098</v>
      </c>
      <c r="C648" s="1">
        <v>45889.301076388903</v>
      </c>
      <c r="D648" t="s">
        <v>28</v>
      </c>
      <c r="E648" t="s">
        <v>15</v>
      </c>
      <c r="F648" s="2">
        <v>9968</v>
      </c>
      <c r="G648" s="2" t="e">
        <f>VLOOKUP(F648,Produtos!A:B,2,FALSE)</f>
        <v>#N/A</v>
      </c>
      <c r="H648" t="s">
        <v>482</v>
      </c>
      <c r="I6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8" s="9" t="str">
        <f>VLOOKUP(Table1[[#This Row],[Área avaliada]],Endereços!A:B,2,0)</f>
        <v>Picking Alto Giro</v>
      </c>
      <c r="K648" t="str">
        <f>VLOOKUP(Table1[[#This Row],[Nome do avaliador ]],M:N,2,0)</f>
        <v>A</v>
      </c>
    </row>
    <row r="649" spans="1:11" x14ac:dyDescent="0.3">
      <c r="A649">
        <v>648</v>
      </c>
      <c r="B649" s="1">
        <v>45889.308078703703</v>
      </c>
      <c r="C649" s="1">
        <v>45889.309201388904</v>
      </c>
      <c r="D649" t="s">
        <v>28</v>
      </c>
      <c r="E649" t="s">
        <v>15</v>
      </c>
      <c r="F649" s="2">
        <v>21658</v>
      </c>
      <c r="G649" s="2" t="str">
        <f>VLOOKUP(F649,Produtos!A:B,2,FALSE)</f>
        <v>SPATEN N LT SLEEK 350ML CX CART C12</v>
      </c>
      <c r="H649" t="s">
        <v>482</v>
      </c>
      <c r="I6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9" s="9" t="str">
        <f>VLOOKUP(Table1[[#This Row],[Área avaliada]],Endereços!A:B,2,0)</f>
        <v>Picking Alto Giro</v>
      </c>
      <c r="K649" t="str">
        <f>VLOOKUP(Table1[[#This Row],[Nome do avaliador ]],M:N,2,0)</f>
        <v>A</v>
      </c>
    </row>
    <row r="650" spans="1:11" x14ac:dyDescent="0.3">
      <c r="A650">
        <v>649</v>
      </c>
      <c r="B650" s="1">
        <v>45889.356736111098</v>
      </c>
      <c r="C650" s="1">
        <v>45889.357291666704</v>
      </c>
      <c r="D650" t="s">
        <v>17</v>
      </c>
      <c r="E650" t="s">
        <v>23</v>
      </c>
      <c r="F650" s="2">
        <v>9068</v>
      </c>
      <c r="G650" s="2" t="str">
        <f>VLOOKUP(F650,Produtos!A:B,2,FALSE)</f>
        <v>SKOL LATA 350ML SH C/12 NPAL</v>
      </c>
      <c r="H650" t="s">
        <v>475</v>
      </c>
      <c r="I6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0" s="9" t="str">
        <f>VLOOKUP(Table1[[#This Row],[Área avaliada]],Endereços!A:B,2,0)</f>
        <v>Área Azul</v>
      </c>
      <c r="K650" t="s">
        <v>510</v>
      </c>
    </row>
    <row r="651" spans="1:11" x14ac:dyDescent="0.3">
      <c r="A651">
        <v>650</v>
      </c>
      <c r="B651" s="1">
        <v>45889.357314814799</v>
      </c>
      <c r="C651" s="1">
        <v>45889.3578935185</v>
      </c>
      <c r="D651" t="s">
        <v>17</v>
      </c>
      <c r="E651" t="s">
        <v>23</v>
      </c>
      <c r="F651" s="2">
        <v>22177</v>
      </c>
      <c r="G651" s="2" t="str">
        <f>VLOOKUP(F651,Produtos!A:B,2,FALSE)</f>
        <v>BUDWEISER ZERO LT SLEEK 350ML C8 CX CART</v>
      </c>
      <c r="H651" t="s">
        <v>475</v>
      </c>
      <c r="I6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1" s="9" t="str">
        <f>VLOOKUP(Table1[[#This Row],[Área avaliada]],Endereços!A:B,2,0)</f>
        <v>Área Azul</v>
      </c>
      <c r="K651" t="s">
        <v>510</v>
      </c>
    </row>
    <row r="652" spans="1:11" x14ac:dyDescent="0.3">
      <c r="A652">
        <v>651</v>
      </c>
      <c r="B652" s="1">
        <v>45889.358819444402</v>
      </c>
      <c r="C652" s="1">
        <v>45889.3592824074</v>
      </c>
      <c r="D652" t="s">
        <v>17</v>
      </c>
      <c r="E652" t="s">
        <v>23</v>
      </c>
      <c r="F652" s="2">
        <v>9274</v>
      </c>
      <c r="G652" s="2" t="str">
        <f>VLOOKUP(F652,Produtos!A:B,2,FALSE)</f>
        <v>PEPSI ZERO LATA 350ML SH C/12 NPAL</v>
      </c>
      <c r="H652" t="s">
        <v>475</v>
      </c>
      <c r="I65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2" s="9" t="str">
        <f>VLOOKUP(Table1[[#This Row],[Área avaliada]],Endereços!A:B,2,0)</f>
        <v>Área Azul</v>
      </c>
      <c r="K652" t="s">
        <v>510</v>
      </c>
    </row>
    <row r="653" spans="1:11" x14ac:dyDescent="0.3">
      <c r="A653">
        <v>652</v>
      </c>
      <c r="B653" s="1">
        <v>45889.362337963001</v>
      </c>
      <c r="C653" s="1">
        <v>45889.362893518497</v>
      </c>
      <c r="D653" t="s">
        <v>17</v>
      </c>
      <c r="E653" t="s">
        <v>23</v>
      </c>
      <c r="F653" s="2">
        <v>18490</v>
      </c>
      <c r="G653" s="2" t="str">
        <f>VLOOKUP(F653,Produtos!A:B,2,FALSE)</f>
        <v>PATAGONIA AMB LAG NAC LATA 473ML 6PACK</v>
      </c>
      <c r="H653" t="s">
        <v>475</v>
      </c>
      <c r="I65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3" s="9" t="str">
        <f>VLOOKUP(Table1[[#This Row],[Área avaliada]],Endereços!A:B,2,0)</f>
        <v>Área Azul</v>
      </c>
      <c r="K653" t="s">
        <v>510</v>
      </c>
    </row>
    <row r="654" spans="1:11" x14ac:dyDescent="0.3">
      <c r="A654">
        <v>653</v>
      </c>
      <c r="B654" s="1">
        <v>45889.362916666701</v>
      </c>
      <c r="C654" s="1">
        <v>45889.363391203697</v>
      </c>
      <c r="D654" t="s">
        <v>17</v>
      </c>
      <c r="E654" t="s">
        <v>33</v>
      </c>
      <c r="F654" s="2">
        <v>9274</v>
      </c>
      <c r="G654" s="2" t="str">
        <f>VLOOKUP(F654,Produtos!A:B,2,FALSE)</f>
        <v>PEPSI ZERO LATA 350ML SH C/12 NPAL</v>
      </c>
      <c r="H654" t="s">
        <v>475</v>
      </c>
      <c r="I65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4" s="9" t="str">
        <f>VLOOKUP(Table1[[#This Row],[Área avaliada]],Endereços!A:B,2,0)</f>
        <v>Área Verde</v>
      </c>
      <c r="K654" t="s">
        <v>510</v>
      </c>
    </row>
    <row r="655" spans="1:11" x14ac:dyDescent="0.3">
      <c r="A655">
        <v>654</v>
      </c>
      <c r="B655" s="1">
        <v>45889.404259259303</v>
      </c>
      <c r="C655" s="1">
        <v>45889.405810185199</v>
      </c>
      <c r="D655" t="s">
        <v>28</v>
      </c>
      <c r="E655" t="s">
        <v>23</v>
      </c>
      <c r="F655" s="2">
        <v>24306</v>
      </c>
      <c r="G655" s="2" t="str">
        <f>VLOOKUP(F655,Produtos!A:B,2,FALSE)</f>
        <v>RED BULL MELANCIA LT 250ML FOUR PACK NPA</v>
      </c>
      <c r="H655" t="s">
        <v>482</v>
      </c>
      <c r="I65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5" s="9" t="str">
        <f>VLOOKUP(Table1[[#This Row],[Área avaliada]],Endereços!A:B,2,0)</f>
        <v>Área Azul</v>
      </c>
      <c r="K655" t="str">
        <f>VLOOKUP(Table1[[#This Row],[Nome do avaliador ]],M:N,2,0)</f>
        <v>A</v>
      </c>
    </row>
    <row r="656" spans="1:11" x14ac:dyDescent="0.3">
      <c r="A656">
        <v>655</v>
      </c>
      <c r="B656" s="1">
        <v>45889.554074074098</v>
      </c>
      <c r="C656" s="1">
        <v>45889.554513888899</v>
      </c>
      <c r="D656" t="s">
        <v>19</v>
      </c>
      <c r="E656" t="s">
        <v>23</v>
      </c>
      <c r="F656" s="2">
        <v>9069</v>
      </c>
      <c r="G656" s="2" t="str">
        <f>VLOOKUP(F656,Produtos!A:B,2,FALSE)</f>
        <v>BRAHMA CHOPP LATA 350ML SH C/12 NPAL</v>
      </c>
      <c r="H656" t="s">
        <v>473</v>
      </c>
      <c r="I65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6" s="9" t="str">
        <f>VLOOKUP(Table1[[#This Row],[Área avaliada]],Endereços!A:B,2,0)</f>
        <v>Área Azul</v>
      </c>
      <c r="K656" t="str">
        <f>VLOOKUP(Table1[[#This Row],[Nome do avaliador ]],M:N,2,0)</f>
        <v>A</v>
      </c>
    </row>
    <row r="657" spans="1:11" x14ac:dyDescent="0.3">
      <c r="A657">
        <v>656</v>
      </c>
      <c r="B657" s="1">
        <v>45890.273807870399</v>
      </c>
      <c r="C657" s="1">
        <v>45890.2746064815</v>
      </c>
      <c r="D657" t="s">
        <v>28</v>
      </c>
      <c r="E657" t="s">
        <v>20</v>
      </c>
      <c r="F657" s="2">
        <v>9089</v>
      </c>
      <c r="G657" s="2" t="str">
        <f>VLOOKUP(F657,Produtos!A:B,2,FALSE)</f>
        <v>SUKITA LATA 350ML SH C/12 NPAL</v>
      </c>
      <c r="H657" t="s">
        <v>482</v>
      </c>
      <c r="I65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7" s="9" t="str">
        <f>VLOOKUP(Table1[[#This Row],[Área avaliada]],Endereços!A:B,2,0)</f>
        <v>Área Azul</v>
      </c>
      <c r="K657" t="str">
        <f>VLOOKUP(Table1[[#This Row],[Nome do avaliador ]],M:N,2,0)</f>
        <v>A</v>
      </c>
    </row>
    <row r="658" spans="1:11" x14ac:dyDescent="0.3">
      <c r="A658">
        <v>657</v>
      </c>
      <c r="B658" s="1">
        <v>45890.343518518501</v>
      </c>
      <c r="C658" s="1">
        <v>45890.344583333303</v>
      </c>
      <c r="D658" t="s">
        <v>28</v>
      </c>
      <c r="E658" t="s">
        <v>14</v>
      </c>
      <c r="F658" t="s">
        <v>40</v>
      </c>
      <c r="G658" t="e">
        <f>VLOOKUP(F658,Produtos!A:B,2,FALSE)</f>
        <v>#N/A</v>
      </c>
      <c r="H658" t="s">
        <v>473</v>
      </c>
      <c r="I65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8" s="9" t="str">
        <f>VLOOKUP(Table1[[#This Row],[Área avaliada]],Endereços!A:B,2,0)</f>
        <v>Picking Baixo Giro</v>
      </c>
      <c r="K658" t="str">
        <f>VLOOKUP(Table1[[#This Row],[Nome do avaliador ]],M:N,2,0)</f>
        <v>A</v>
      </c>
    </row>
    <row r="659" spans="1:11" x14ac:dyDescent="0.3">
      <c r="A659">
        <v>658</v>
      </c>
      <c r="B659" s="1">
        <v>45890.437696759298</v>
      </c>
      <c r="C659" s="1">
        <v>45890.438229166699</v>
      </c>
      <c r="D659" t="s">
        <v>17</v>
      </c>
      <c r="E659" t="s">
        <v>23</v>
      </c>
      <c r="F659" s="2">
        <v>9089</v>
      </c>
      <c r="G659" s="2" t="str">
        <f>VLOOKUP(F659,Produtos!A:B,2,FALSE)</f>
        <v>SUKITA LATA 350ML SH C/12 NPAL</v>
      </c>
      <c r="H659" t="s">
        <v>475</v>
      </c>
      <c r="I65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9" s="9" t="str">
        <f>VLOOKUP(Table1[[#This Row],[Área avaliada]],Endereços!A:B,2,0)</f>
        <v>Área Azul</v>
      </c>
      <c r="K659" t="s">
        <v>510</v>
      </c>
    </row>
    <row r="660" spans="1:11" x14ac:dyDescent="0.3">
      <c r="A660">
        <v>659</v>
      </c>
      <c r="B660" s="1">
        <v>45890.438240740703</v>
      </c>
      <c r="C660" s="1">
        <v>45890.438842592601</v>
      </c>
      <c r="D660" t="s">
        <v>17</v>
      </c>
      <c r="E660" t="s">
        <v>23</v>
      </c>
      <c r="F660" s="2">
        <v>1745</v>
      </c>
      <c r="G660" s="2" t="str">
        <f>VLOOKUP(F660,Produtos!A:B,2,FALSE)</f>
        <v>SKOL LT 269ML SH C/15 NPAL</v>
      </c>
      <c r="H660" t="s">
        <v>475</v>
      </c>
      <c r="I66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0" s="9" t="str">
        <f>VLOOKUP(Table1[[#This Row],[Área avaliada]],Endereços!A:B,2,0)</f>
        <v>Área Azul</v>
      </c>
      <c r="K660" t="s">
        <v>510</v>
      </c>
    </row>
    <row r="661" spans="1:11" x14ac:dyDescent="0.3">
      <c r="A661">
        <v>660</v>
      </c>
      <c r="B661" s="1">
        <v>45890.438865740703</v>
      </c>
      <c r="C661" s="1">
        <v>45890.439444444397</v>
      </c>
      <c r="D661" t="s">
        <v>17</v>
      </c>
      <c r="E661" t="s">
        <v>23</v>
      </c>
      <c r="F661" s="2">
        <v>32473</v>
      </c>
      <c r="G661" s="2" t="str">
        <f>VLOOKUP(F661,Produtos!A:B,2,FALSE)</f>
        <v>STELLA ART PUR GOLD LT 473ML CX CART C12</v>
      </c>
      <c r="H661" t="s">
        <v>475</v>
      </c>
      <c r="I66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1" s="9" t="str">
        <f>VLOOKUP(Table1[[#This Row],[Área avaliada]],Endereços!A:B,2,0)</f>
        <v>Área Azul</v>
      </c>
      <c r="K661" t="s">
        <v>510</v>
      </c>
    </row>
    <row r="662" spans="1:11" x14ac:dyDescent="0.3">
      <c r="A662">
        <v>661</v>
      </c>
      <c r="B662" s="1">
        <v>45890.441979166702</v>
      </c>
      <c r="C662" s="1">
        <v>45890.443182870396</v>
      </c>
      <c r="D662" t="s">
        <v>19</v>
      </c>
      <c r="E662" t="s">
        <v>20</v>
      </c>
      <c r="F662" s="2">
        <v>9085</v>
      </c>
      <c r="G662" s="2" t="str">
        <f>VLOOKUP(F662,Produtos!A:B,2,FALSE)</f>
        <v>GUARANA CHP ANTARCT DIET LT350ML SHC/12</v>
      </c>
      <c r="H662" t="s">
        <v>473</v>
      </c>
      <c r="I66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2" s="9" t="str">
        <f>VLOOKUP(Table1[[#This Row],[Área avaliada]],Endereços!A:B,2,0)</f>
        <v>Área Azul</v>
      </c>
      <c r="K662" t="str">
        <f>VLOOKUP(Table1[[#This Row],[Nome do avaliador ]],M:N,2,0)</f>
        <v>A</v>
      </c>
    </row>
    <row r="663" spans="1:11" x14ac:dyDescent="0.3">
      <c r="A663">
        <v>662</v>
      </c>
      <c r="B663" s="1">
        <v>45891.2974189815</v>
      </c>
      <c r="C663" s="1">
        <v>45891.297847222202</v>
      </c>
      <c r="D663" t="s">
        <v>19</v>
      </c>
      <c r="E663" t="s">
        <v>23</v>
      </c>
      <c r="F663" s="2">
        <v>30045</v>
      </c>
      <c r="G663" s="2" t="str">
        <f>VLOOKUP(F663,Produtos!A:B,2,FALSE)</f>
        <v>RED BULL BR LATA 473ML CX C 12</v>
      </c>
      <c r="H663" t="s">
        <v>473</v>
      </c>
      <c r="I66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3" s="9" t="str">
        <f>VLOOKUP(Table1[[#This Row],[Área avaliada]],Endereços!A:B,2,0)</f>
        <v>Área Azul</v>
      </c>
      <c r="K663" t="str">
        <f>VLOOKUP(Table1[[#This Row],[Nome do avaliador ]],M:N,2,0)</f>
        <v>A</v>
      </c>
    </row>
    <row r="664" spans="1:11" x14ac:dyDescent="0.3">
      <c r="A664">
        <v>663</v>
      </c>
      <c r="B664" s="1">
        <v>45891.297916666699</v>
      </c>
      <c r="C664" s="1">
        <v>45891.298564814802</v>
      </c>
      <c r="D664" t="s">
        <v>19</v>
      </c>
      <c r="E664" t="s">
        <v>23</v>
      </c>
      <c r="F664" s="2">
        <v>32473</v>
      </c>
      <c r="G664" s="2" t="str">
        <f>VLOOKUP(F664,Produtos!A:B,2,FALSE)</f>
        <v>STELLA ART PUR GOLD LT 473ML CX CART C12</v>
      </c>
      <c r="H664" t="s">
        <v>473</v>
      </c>
      <c r="I66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4" s="9" t="str">
        <f>VLOOKUP(Table1[[#This Row],[Área avaliada]],Endereços!A:B,2,0)</f>
        <v>Área Azul</v>
      </c>
      <c r="K664" t="str">
        <f>VLOOKUP(Table1[[#This Row],[Nome do avaliador ]],M:N,2,0)</f>
        <v>A</v>
      </c>
    </row>
    <row r="665" spans="1:11" x14ac:dyDescent="0.3">
      <c r="A665">
        <v>664</v>
      </c>
      <c r="B665" s="1">
        <v>45891.331631944398</v>
      </c>
      <c r="C665" s="1">
        <v>45891.332291666702</v>
      </c>
      <c r="D665" t="s">
        <v>19</v>
      </c>
      <c r="E665" t="s">
        <v>20</v>
      </c>
      <c r="F665" s="2">
        <v>34608</v>
      </c>
      <c r="G665" s="2" t="str">
        <f>VLOOKUP(F665,Produtos!A:B,2,FALSE)</f>
        <v>SKOL LATA 350ML SH C/12 MULTIPAK</v>
      </c>
      <c r="H665" t="s">
        <v>473</v>
      </c>
      <c r="I66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5" s="9" t="str">
        <f>VLOOKUP(Table1[[#This Row],[Área avaliada]],Endereços!A:B,2,0)</f>
        <v>Área Azul</v>
      </c>
      <c r="K665" t="str">
        <f>VLOOKUP(Table1[[#This Row],[Nome do avaliador ]],M:N,2,0)</f>
        <v>A</v>
      </c>
    </row>
    <row r="666" spans="1:11" x14ac:dyDescent="0.3">
      <c r="A666">
        <v>665</v>
      </c>
      <c r="B666" s="1">
        <v>45891.332233796304</v>
      </c>
      <c r="C666" s="1">
        <v>45891.332893518498</v>
      </c>
      <c r="D666" t="s">
        <v>17</v>
      </c>
      <c r="E666" t="s">
        <v>20</v>
      </c>
      <c r="F666" s="2">
        <v>34608</v>
      </c>
      <c r="G666" s="2" t="str">
        <f>VLOOKUP(F666,Produtos!A:B,2,FALSE)</f>
        <v>SKOL LATA 350ML SH C/12 MULTIPAK</v>
      </c>
      <c r="H666" t="s">
        <v>474</v>
      </c>
      <c r="I66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6" s="9" t="str">
        <f>VLOOKUP(Table1[[#This Row],[Área avaliada]],Endereços!A:B,2,0)</f>
        <v>Área Azul</v>
      </c>
      <c r="K666" t="s">
        <v>510</v>
      </c>
    </row>
    <row r="667" spans="1:11" x14ac:dyDescent="0.3">
      <c r="A667">
        <v>666</v>
      </c>
      <c r="B667" s="1">
        <v>45891.334780092599</v>
      </c>
      <c r="C667" s="1">
        <v>45891.335462962998</v>
      </c>
      <c r="D667" t="s">
        <v>19</v>
      </c>
      <c r="E667" t="s">
        <v>23</v>
      </c>
      <c r="F667" s="2">
        <v>9068</v>
      </c>
      <c r="G667" s="2" t="str">
        <f>VLOOKUP(F667,Produtos!A:B,2,FALSE)</f>
        <v>SKOL LATA 350ML SH C/12 NPAL</v>
      </c>
      <c r="H667" t="s">
        <v>473</v>
      </c>
      <c r="I66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7" s="9" t="str">
        <f>VLOOKUP(Table1[[#This Row],[Área avaliada]],Endereços!A:B,2,0)</f>
        <v>Área Azul</v>
      </c>
      <c r="K667" t="str">
        <f>VLOOKUP(Table1[[#This Row],[Nome do avaliador ]],M:N,2,0)</f>
        <v>A</v>
      </c>
    </row>
    <row r="668" spans="1:11" x14ac:dyDescent="0.3">
      <c r="A668">
        <v>667</v>
      </c>
      <c r="B668" s="1">
        <v>45891.336666666699</v>
      </c>
      <c r="C668" s="1">
        <v>45891.337280092601</v>
      </c>
      <c r="D668" t="s">
        <v>17</v>
      </c>
      <c r="E668" t="s">
        <v>23</v>
      </c>
      <c r="F668" s="2">
        <v>24306</v>
      </c>
      <c r="G668" s="2" t="str">
        <f>VLOOKUP(F668,Produtos!A:B,2,FALSE)</f>
        <v>RED BULL MELANCIA LT 250ML FOUR PACK NPA</v>
      </c>
      <c r="H668" t="s">
        <v>475</v>
      </c>
      <c r="I66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8" s="9" t="str">
        <f>VLOOKUP(Table1[[#This Row],[Área avaliada]],Endereços!A:B,2,0)</f>
        <v>Área Azul</v>
      </c>
      <c r="K668" t="s">
        <v>510</v>
      </c>
    </row>
    <row r="669" spans="1:11" x14ac:dyDescent="0.3">
      <c r="A669">
        <v>668</v>
      </c>
      <c r="B669" s="1">
        <v>45892.279120370396</v>
      </c>
      <c r="C669" s="1">
        <v>45892.2800347222</v>
      </c>
      <c r="D669" t="s">
        <v>19</v>
      </c>
      <c r="E669" t="s">
        <v>20</v>
      </c>
      <c r="F669" s="2">
        <v>4409</v>
      </c>
      <c r="G669" s="2" t="str">
        <f>VLOOKUP(F669,Produtos!A:B,2,FALSE)</f>
        <v>PEPSI TWIST PET 2L SHRINK C/6</v>
      </c>
      <c r="H669" t="s">
        <v>478</v>
      </c>
      <c r="I66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9" s="9" t="str">
        <f>VLOOKUP(Table1[[#This Row],[Área avaliada]],Endereços!A:B,2,0)</f>
        <v>Área Azul</v>
      </c>
      <c r="K669" t="str">
        <f>VLOOKUP(Table1[[#This Row],[Nome do avaliador ]],M:N,2,0)</f>
        <v>A</v>
      </c>
    </row>
    <row r="670" spans="1:11" x14ac:dyDescent="0.3">
      <c r="A670">
        <v>669</v>
      </c>
      <c r="B670" s="1">
        <v>45892.279930555596</v>
      </c>
      <c r="C670" s="1">
        <v>45892.2804861111</v>
      </c>
      <c r="D670" t="s">
        <v>17</v>
      </c>
      <c r="E670" t="s">
        <v>20</v>
      </c>
      <c r="F670" s="2">
        <v>17797</v>
      </c>
      <c r="G670" s="2" t="str">
        <f>VLOOKUP(F670,Produtos!A:B,2,FALSE)</f>
        <v>BRAHMA CHOPP LATA 350ML SH 18 MULTIPACK</v>
      </c>
      <c r="H670" t="s">
        <v>475</v>
      </c>
      <c r="I67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0" s="9" t="str">
        <f>VLOOKUP(Table1[[#This Row],[Área avaliada]],Endereços!A:B,2,0)</f>
        <v>Área Azul</v>
      </c>
      <c r="K670" t="s">
        <v>510</v>
      </c>
    </row>
    <row r="671" spans="1:11" x14ac:dyDescent="0.3">
      <c r="A671">
        <v>670</v>
      </c>
      <c r="B671" s="1">
        <v>45892.585648148102</v>
      </c>
      <c r="C671" s="1">
        <v>45892.586412037002</v>
      </c>
      <c r="D671" t="s">
        <v>7</v>
      </c>
      <c r="E671" t="s">
        <v>15</v>
      </c>
      <c r="G671" t="e">
        <f>VLOOKUP(F671,Produtos!A:B,2,FALSE)</f>
        <v>#N/A</v>
      </c>
      <c r="H671" t="s">
        <v>477</v>
      </c>
      <c r="I67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1" s="9" t="str">
        <f>VLOOKUP(Table1[[#This Row],[Área avaliada]],Endereços!A:B,2,0)</f>
        <v>Picking Alto Giro</v>
      </c>
      <c r="K671" t="str">
        <f>VLOOKUP(Table1[[#This Row],[Nome do avaliador ]],M:N,2,0)</f>
        <v>A</v>
      </c>
    </row>
    <row r="672" spans="1:11" x14ac:dyDescent="0.3">
      <c r="A672">
        <v>671</v>
      </c>
      <c r="B672" s="1">
        <v>45892.586851851796</v>
      </c>
      <c r="C672" s="1">
        <v>45892.587962963</v>
      </c>
      <c r="D672" t="s">
        <v>7</v>
      </c>
      <c r="E672" t="s">
        <v>20</v>
      </c>
      <c r="G672" t="e">
        <f>VLOOKUP(F672,Produtos!A:B,2,FALSE)</f>
        <v>#N/A</v>
      </c>
      <c r="H672" t="s">
        <v>488</v>
      </c>
      <c r="I67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2" s="9" t="str">
        <f>VLOOKUP(Table1[[#This Row],[Área avaliada]],Endereços!A:B,2,0)</f>
        <v>Área Azul</v>
      </c>
      <c r="K672" t="str">
        <f>VLOOKUP(Table1[[#This Row],[Nome do avaliador ]],M:N,2,0)</f>
        <v>A</v>
      </c>
    </row>
    <row r="673" spans="1:11" x14ac:dyDescent="0.3">
      <c r="A673">
        <v>672</v>
      </c>
      <c r="B673" s="1">
        <v>45894.270729166703</v>
      </c>
      <c r="C673" s="1">
        <v>45894.271782407399</v>
      </c>
      <c r="D673" t="s">
        <v>28</v>
      </c>
      <c r="E673" t="s">
        <v>14</v>
      </c>
      <c r="F673" t="s">
        <v>41</v>
      </c>
      <c r="G673" t="e">
        <f>VLOOKUP(F673,Produtos!A:B,2,FALSE)</f>
        <v>#N/A</v>
      </c>
      <c r="H673" t="s">
        <v>482</v>
      </c>
      <c r="I67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3" s="9" t="str">
        <f>VLOOKUP(Table1[[#This Row],[Área avaliada]],Endereços!A:B,2,0)</f>
        <v>Picking Baixo Giro</v>
      </c>
      <c r="K673" t="str">
        <f>VLOOKUP(Table1[[#This Row],[Nome do avaliador ]],M:N,2,0)</f>
        <v>A</v>
      </c>
    </row>
    <row r="674" spans="1:11" x14ac:dyDescent="0.3">
      <c r="A674">
        <v>673</v>
      </c>
      <c r="B674" s="1">
        <v>45894.424085648097</v>
      </c>
      <c r="C674" s="1">
        <v>45894.424861111103</v>
      </c>
      <c r="D674" t="s">
        <v>28</v>
      </c>
      <c r="E674" t="s">
        <v>23</v>
      </c>
      <c r="F674" s="2">
        <v>9081</v>
      </c>
      <c r="G674" s="2" t="str">
        <f>VLOOKUP(F674,Produtos!A:B,2,FALSE)</f>
        <v>MALZBIER BRAHMA LATA 350ML SH C/12 NPAL</v>
      </c>
      <c r="H674" t="s">
        <v>473</v>
      </c>
      <c r="I67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4" s="9" t="str">
        <f>VLOOKUP(Table1[[#This Row],[Área avaliada]],Endereços!A:B,2,0)</f>
        <v>Área Azul</v>
      </c>
      <c r="K674" t="str">
        <f>VLOOKUP(Table1[[#This Row],[Nome do avaliador ]],M:N,2,0)</f>
        <v>A</v>
      </c>
    </row>
    <row r="675" spans="1:11" x14ac:dyDescent="0.3">
      <c r="A675">
        <v>674</v>
      </c>
      <c r="B675" s="1">
        <v>45894.425219907404</v>
      </c>
      <c r="C675" s="1">
        <v>45894.425856481503</v>
      </c>
      <c r="D675" t="s">
        <v>17</v>
      </c>
      <c r="E675" t="s">
        <v>23</v>
      </c>
      <c r="F675" s="2">
        <v>14138</v>
      </c>
      <c r="G675" s="2" t="str">
        <f>VLOOKUP(F675,Produtos!A:B,2,FALSE)</f>
        <v>SKOL BEATS SENSES LT 473ML SP SH C/2 NPA</v>
      </c>
      <c r="H675" t="s">
        <v>475</v>
      </c>
      <c r="I67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5" s="9" t="str">
        <f>VLOOKUP(Table1[[#This Row],[Área avaliada]],Endereços!A:B,2,0)</f>
        <v>Área Azul</v>
      </c>
      <c r="K675" t="s">
        <v>510</v>
      </c>
    </row>
    <row r="676" spans="1:11" x14ac:dyDescent="0.3">
      <c r="A676">
        <v>675</v>
      </c>
      <c r="B676" s="1">
        <v>45894.425937499997</v>
      </c>
      <c r="C676" s="1">
        <v>45894.426493055602</v>
      </c>
      <c r="D676" t="s">
        <v>28</v>
      </c>
      <c r="E676" t="s">
        <v>23</v>
      </c>
      <c r="F676" s="2">
        <v>21666</v>
      </c>
      <c r="G676" s="2" t="str">
        <f>VLOOKUP(F676,Produtos!A:B,2,FALSE)</f>
        <v>RED BULL TROP BR LT 250ML FOUR PACK NPAL</v>
      </c>
      <c r="H676" t="s">
        <v>482</v>
      </c>
      <c r="I67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6" s="9" t="str">
        <f>VLOOKUP(Table1[[#This Row],[Área avaliada]],Endereços!A:B,2,0)</f>
        <v>Área Azul</v>
      </c>
      <c r="K676" t="str">
        <f>VLOOKUP(Table1[[#This Row],[Nome do avaliador ]],M:N,2,0)</f>
        <v>A</v>
      </c>
    </row>
    <row r="677" spans="1:11" x14ac:dyDescent="0.3">
      <c r="A677">
        <v>676</v>
      </c>
      <c r="B677" s="1">
        <v>45894.425891203697</v>
      </c>
      <c r="C677" s="1">
        <v>45894.4266319444</v>
      </c>
      <c r="D677" t="s">
        <v>17</v>
      </c>
      <c r="E677" t="s">
        <v>23</v>
      </c>
      <c r="F677" s="2">
        <v>12948</v>
      </c>
      <c r="G677" s="2" t="str">
        <f>VLOOKUP(F677,Produtos!A:B,2,FALSE)</f>
        <v>BRAHMA CHOPP ZERO LATA 350 SH CX C12 NPA</v>
      </c>
      <c r="H677" t="s">
        <v>475</v>
      </c>
      <c r="I67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7" s="9" t="str">
        <f>VLOOKUP(Table1[[#This Row],[Área avaliada]],Endereços!A:B,2,0)</f>
        <v>Área Azul</v>
      </c>
      <c r="K677" t="s">
        <v>510</v>
      </c>
    </row>
    <row r="678" spans="1:11" x14ac:dyDescent="0.3">
      <c r="A678">
        <v>677</v>
      </c>
      <c r="B678" s="1">
        <v>45894.426273148099</v>
      </c>
      <c r="C678" s="1">
        <v>45894.426712963003</v>
      </c>
      <c r="D678" t="s">
        <v>19</v>
      </c>
      <c r="E678" t="s">
        <v>23</v>
      </c>
      <c r="F678" s="2">
        <v>9069</v>
      </c>
      <c r="G678" s="2" t="str">
        <f>VLOOKUP(F678,Produtos!A:B,2,FALSE)</f>
        <v>BRAHMA CHOPP LATA 350ML SH C/12 NPAL</v>
      </c>
      <c r="H678" t="s">
        <v>473</v>
      </c>
      <c r="I67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8" s="9" t="str">
        <f>VLOOKUP(Table1[[#This Row],[Área avaliada]],Endereços!A:B,2,0)</f>
        <v>Área Azul</v>
      </c>
      <c r="K678" t="str">
        <f>VLOOKUP(Table1[[#This Row],[Nome do avaliador ]],M:N,2,0)</f>
        <v>A</v>
      </c>
    </row>
    <row r="679" spans="1:11" x14ac:dyDescent="0.3">
      <c r="A679">
        <v>678</v>
      </c>
      <c r="B679" s="1">
        <v>45894.426643518498</v>
      </c>
      <c r="C679" s="1">
        <v>45894.4272569444</v>
      </c>
      <c r="D679" t="s">
        <v>17</v>
      </c>
      <c r="E679" t="s">
        <v>23</v>
      </c>
      <c r="F679" s="2">
        <v>13566</v>
      </c>
      <c r="G679" s="2" t="str">
        <f>VLOOKUP(F679,Produtos!A:B,2,FALSE)</f>
        <v>SKOL BEATS SENSES LATA 269ML CX C/8 FRID</v>
      </c>
      <c r="H679" t="s">
        <v>475</v>
      </c>
      <c r="I67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9" s="9" t="str">
        <f>VLOOKUP(Table1[[#This Row],[Área avaliada]],Endereços!A:B,2,0)</f>
        <v>Área Azul</v>
      </c>
      <c r="K679" t="s">
        <v>510</v>
      </c>
    </row>
    <row r="680" spans="1:11" x14ac:dyDescent="0.3">
      <c r="A680">
        <v>679</v>
      </c>
      <c r="B680" s="1">
        <v>45894.428229166697</v>
      </c>
      <c r="C680" s="1">
        <v>45894.4289699074</v>
      </c>
      <c r="D680" t="s">
        <v>28</v>
      </c>
      <c r="E680" t="s">
        <v>23</v>
      </c>
      <c r="F680" s="2">
        <v>19310</v>
      </c>
      <c r="G680" s="2" t="str">
        <f>VLOOKUP(F680,Produtos!A:B,2,FALSE)</f>
        <v>ORIGINAL LATA 350ML CX CARTAO C/12 NPAL</v>
      </c>
      <c r="H680" t="s">
        <v>482</v>
      </c>
      <c r="I68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0" s="9" t="str">
        <f>VLOOKUP(Table1[[#This Row],[Área avaliada]],Endereços!A:B,2,0)</f>
        <v>Área Azul</v>
      </c>
      <c r="K680" t="str">
        <f>VLOOKUP(Table1[[#This Row],[Nome do avaliador ]],M:N,2,0)</f>
        <v>A</v>
      </c>
    </row>
    <row r="681" spans="1:11" x14ac:dyDescent="0.3">
      <c r="A681">
        <v>680</v>
      </c>
      <c r="B681" s="1">
        <v>45894.431365740696</v>
      </c>
      <c r="C681" s="1">
        <v>45894.431898148097</v>
      </c>
      <c r="D681" t="s">
        <v>28</v>
      </c>
      <c r="E681" t="s">
        <v>33</v>
      </c>
      <c r="F681" s="2">
        <v>9069</v>
      </c>
      <c r="G681" s="2" t="str">
        <f>VLOOKUP(F681,Produtos!A:B,2,FALSE)</f>
        <v>BRAHMA CHOPP LATA 350ML SH C/12 NPAL</v>
      </c>
      <c r="H681" t="s">
        <v>482</v>
      </c>
      <c r="I68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1" s="9" t="str">
        <f>VLOOKUP(Table1[[#This Row],[Área avaliada]],Endereços!A:B,2,0)</f>
        <v>Área Verde</v>
      </c>
      <c r="K681" t="str">
        <f>VLOOKUP(Table1[[#This Row],[Nome do avaliador ]],M:N,2,0)</f>
        <v>A</v>
      </c>
    </row>
    <row r="682" spans="1:11" x14ac:dyDescent="0.3">
      <c r="A682">
        <v>681</v>
      </c>
      <c r="B682" s="1">
        <v>45895.2797222222</v>
      </c>
      <c r="C682" s="1">
        <v>45895.280555555597</v>
      </c>
      <c r="D682" t="s">
        <v>28</v>
      </c>
      <c r="E682" t="s">
        <v>20</v>
      </c>
      <c r="F682" s="2">
        <v>9071</v>
      </c>
      <c r="G682" s="2" t="str">
        <f>VLOOKUP(F682,Produtos!A:B,2,FALSE)</f>
        <v>CARACU LATA 350ML SH C/12 NPAL</v>
      </c>
      <c r="H682" t="s">
        <v>482</v>
      </c>
      <c r="I68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2" s="9" t="str">
        <f>VLOOKUP(Table1[[#This Row],[Área avaliada]],Endereços!A:B,2,0)</f>
        <v>Área Azul</v>
      </c>
      <c r="K682" t="str">
        <f>VLOOKUP(Table1[[#This Row],[Nome do avaliador ]],M:N,2,0)</f>
        <v>A</v>
      </c>
    </row>
    <row r="683" spans="1:11" x14ac:dyDescent="0.3">
      <c r="A683">
        <v>682</v>
      </c>
      <c r="B683" s="1">
        <v>45895.285937499997</v>
      </c>
      <c r="C683" s="1">
        <v>45895.286655092597</v>
      </c>
      <c r="D683" t="s">
        <v>28</v>
      </c>
      <c r="E683" t="s">
        <v>20</v>
      </c>
      <c r="F683">
        <v>9069</v>
      </c>
      <c r="G683" t="str">
        <f>VLOOKUP(F683,Produtos!A:B,2,FALSE)</f>
        <v>BRAHMA CHOPP LATA 350ML SH C/12 NPAL</v>
      </c>
      <c r="H683" t="s">
        <v>482</v>
      </c>
      <c r="I68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3" s="9" t="str">
        <f>VLOOKUP(Table1[[#This Row],[Área avaliada]],Endereços!A:B,2,0)</f>
        <v>Área Azul</v>
      </c>
      <c r="K683" t="str">
        <f>VLOOKUP(Table1[[#This Row],[Nome do avaliador ]],M:N,2,0)</f>
        <v>A</v>
      </c>
    </row>
    <row r="684" spans="1:11" x14ac:dyDescent="0.3">
      <c r="A684">
        <v>683</v>
      </c>
      <c r="B684" s="1">
        <v>45895.291840277801</v>
      </c>
      <c r="C684" s="1">
        <v>45895.292245370401</v>
      </c>
      <c r="D684" t="s">
        <v>19</v>
      </c>
      <c r="E684" t="s">
        <v>23</v>
      </c>
      <c r="F684" s="2">
        <v>9091</v>
      </c>
      <c r="G684" s="2" t="str">
        <f>VLOOKUP(F684,Produtos!A:B,2,FALSE)</f>
        <v>TONICA ANTARCTICA LT 350ML SH C/12 NPAL</v>
      </c>
      <c r="H684" t="s">
        <v>473</v>
      </c>
      <c r="I68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4" s="9" t="str">
        <f>VLOOKUP(Table1[[#This Row],[Área avaliada]],Endereços!A:B,2,0)</f>
        <v>Área Azul</v>
      </c>
      <c r="K684" t="str">
        <f>VLOOKUP(Table1[[#This Row],[Nome do avaliador ]],M:N,2,0)</f>
        <v>A</v>
      </c>
    </row>
    <row r="685" spans="1:11" x14ac:dyDescent="0.3">
      <c r="A685">
        <v>684</v>
      </c>
      <c r="B685" s="1">
        <v>45895.2973726852</v>
      </c>
      <c r="C685" s="1">
        <v>45895.297708333303</v>
      </c>
      <c r="D685" t="s">
        <v>19</v>
      </c>
      <c r="E685" t="s">
        <v>23</v>
      </c>
      <c r="F685" s="2">
        <v>9071</v>
      </c>
      <c r="G685" s="2" t="str">
        <f>VLOOKUP(F685,Produtos!A:B,2,FALSE)</f>
        <v>CARACU LATA 350ML SH C/12 NPAL</v>
      </c>
      <c r="H685" t="s">
        <v>473</v>
      </c>
      <c r="I68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5" s="9" t="str">
        <f>VLOOKUP(Table1[[#This Row],[Área avaliada]],Endereços!A:B,2,0)</f>
        <v>Área Azul</v>
      </c>
      <c r="K685" t="str">
        <f>VLOOKUP(Table1[[#This Row],[Nome do avaliador ]],M:N,2,0)</f>
        <v>A</v>
      </c>
    </row>
    <row r="686" spans="1:11" x14ac:dyDescent="0.3">
      <c r="A686">
        <v>685</v>
      </c>
      <c r="B686" s="1">
        <v>45895.301851851902</v>
      </c>
      <c r="C686" s="1">
        <v>45895.302499999998</v>
      </c>
      <c r="D686" t="s">
        <v>28</v>
      </c>
      <c r="E686" t="s">
        <v>15</v>
      </c>
      <c r="F686" s="2">
        <v>9320</v>
      </c>
      <c r="G686" s="2" t="str">
        <f>VLOOKUP(F686,Produtos!A:B,2,FALSE)</f>
        <v>BRAHMA CHOPP LT 473ML SH C/12 NPAL</v>
      </c>
      <c r="H686" t="s">
        <v>482</v>
      </c>
      <c r="I68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6" s="9" t="str">
        <f>VLOOKUP(Table1[[#This Row],[Área avaliada]],Endereços!A:B,2,0)</f>
        <v>Picking Alto Giro</v>
      </c>
      <c r="K686" t="str">
        <f>VLOOKUP(Table1[[#This Row],[Nome do avaliador ]],M:N,2,0)</f>
        <v>A</v>
      </c>
    </row>
    <row r="687" spans="1:11" x14ac:dyDescent="0.3">
      <c r="A687">
        <v>686</v>
      </c>
      <c r="B687" s="1">
        <v>45895.318842592598</v>
      </c>
      <c r="C687" s="1">
        <v>45895.319490740701</v>
      </c>
      <c r="D687" t="s">
        <v>28</v>
      </c>
      <c r="E687" t="s">
        <v>14</v>
      </c>
      <c r="F687" s="2">
        <v>19229</v>
      </c>
      <c r="G687" s="2" t="str">
        <f>VLOOKUP(F687,Produtos!A:B,2,FALSE)</f>
        <v>RED BULL BR LATA 250ML SIX PACK NPAL</v>
      </c>
      <c r="H687" t="s">
        <v>482</v>
      </c>
      <c r="I68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7" s="9" t="str">
        <f>VLOOKUP(Table1[[#This Row],[Área avaliada]],Endereços!A:B,2,0)</f>
        <v>Picking Baixo Giro</v>
      </c>
      <c r="K687" t="str">
        <f>VLOOKUP(Table1[[#This Row],[Nome do avaliador ]],M:N,2,0)</f>
        <v>A</v>
      </c>
    </row>
    <row r="688" spans="1:11" x14ac:dyDescent="0.3">
      <c r="A688">
        <v>687</v>
      </c>
      <c r="B688" s="1">
        <v>45895.338379629597</v>
      </c>
      <c r="C688" s="1">
        <v>45895.338969907403</v>
      </c>
      <c r="D688" t="s">
        <v>17</v>
      </c>
      <c r="E688" t="s">
        <v>20</v>
      </c>
      <c r="F688" s="2">
        <v>9081</v>
      </c>
      <c r="G688" s="2" t="str">
        <f>VLOOKUP(F688,Produtos!A:B,2,FALSE)</f>
        <v>MALZBIER BRAHMA LATA 350ML SH C/12 NPAL</v>
      </c>
      <c r="H688" t="s">
        <v>475</v>
      </c>
      <c r="I68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8" s="9" t="str">
        <f>VLOOKUP(Table1[[#This Row],[Área avaliada]],Endereços!A:B,2,0)</f>
        <v>Área Azul</v>
      </c>
      <c r="K688" t="s">
        <v>510</v>
      </c>
    </row>
    <row r="689" spans="1:11" x14ac:dyDescent="0.3">
      <c r="A689">
        <v>688</v>
      </c>
      <c r="B689" s="1">
        <v>45895.338981481502</v>
      </c>
      <c r="C689" s="1">
        <v>45895.340347222198</v>
      </c>
      <c r="D689" t="s">
        <v>17</v>
      </c>
      <c r="E689" t="s">
        <v>23</v>
      </c>
      <c r="F689" s="2">
        <v>12948</v>
      </c>
      <c r="G689" s="2" t="str">
        <f>VLOOKUP(F689,Produtos!A:B,2,FALSE)</f>
        <v>BRAHMA CHOPP ZERO LATA 350 SH CX C12 NPA</v>
      </c>
      <c r="H689" t="s">
        <v>475</v>
      </c>
      <c r="I68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9" s="9" t="str">
        <f>VLOOKUP(Table1[[#This Row],[Área avaliada]],Endereços!A:B,2,0)</f>
        <v>Área Azul</v>
      </c>
      <c r="K689" t="s">
        <v>510</v>
      </c>
    </row>
    <row r="690" spans="1:11" x14ac:dyDescent="0.3">
      <c r="A690">
        <v>689</v>
      </c>
      <c r="B690" s="1">
        <v>45895.340763888897</v>
      </c>
      <c r="C690" s="1">
        <v>45895.341550925899</v>
      </c>
      <c r="D690" t="s">
        <v>17</v>
      </c>
      <c r="E690" t="s">
        <v>23</v>
      </c>
      <c r="F690" s="2">
        <v>14135</v>
      </c>
      <c r="G690" s="2" t="str">
        <f>VLOOKUP(F690,Produtos!A:B,2,FALSE)</f>
        <v>BUDWEISER LT 473ML SIX-PACK SH C/2 NPAL</v>
      </c>
      <c r="H690" t="s">
        <v>475</v>
      </c>
      <c r="I69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0" s="9" t="str">
        <f>VLOOKUP(Table1[[#This Row],[Área avaliada]],Endereços!A:B,2,0)</f>
        <v>Área Azul</v>
      </c>
      <c r="K690" t="s">
        <v>510</v>
      </c>
    </row>
    <row r="691" spans="1:11" x14ac:dyDescent="0.3">
      <c r="A691">
        <v>690</v>
      </c>
      <c r="B691" s="1">
        <v>45895.3418171296</v>
      </c>
      <c r="C691" s="1">
        <v>45895.3425347222</v>
      </c>
      <c r="D691" t="s">
        <v>28</v>
      </c>
      <c r="E691" t="s">
        <v>25</v>
      </c>
      <c r="F691" s="2">
        <v>9071</v>
      </c>
      <c r="G691" s="2" t="str">
        <f>VLOOKUP(F691,Produtos!A:B,2,FALSE)</f>
        <v>CARACU LATA 350ML SH C/12 NPAL</v>
      </c>
      <c r="H691" t="s">
        <v>473</v>
      </c>
      <c r="I69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1" s="9" t="str">
        <f>VLOOKUP(Table1[[#This Row],[Área avaliada]],Endereços!A:B,2,0)</f>
        <v>Área Azul</v>
      </c>
      <c r="K691" t="str">
        <f>VLOOKUP(Table1[[#This Row],[Nome do avaliador ]],M:N,2,0)</f>
        <v>A</v>
      </c>
    </row>
    <row r="692" spans="1:11" x14ac:dyDescent="0.3">
      <c r="A692">
        <v>691</v>
      </c>
      <c r="B692" s="1">
        <v>45895.342372685198</v>
      </c>
      <c r="C692" s="1">
        <v>45895.3428472222</v>
      </c>
      <c r="D692" t="s">
        <v>19</v>
      </c>
      <c r="E692" t="s">
        <v>20</v>
      </c>
      <c r="F692" s="2">
        <v>17797</v>
      </c>
      <c r="G692" s="2" t="str">
        <f>VLOOKUP(F692,Produtos!A:B,2,FALSE)</f>
        <v>BRAHMA CHOPP LATA 350ML SH 18 MULTIPACK</v>
      </c>
      <c r="H692" t="s">
        <v>473</v>
      </c>
      <c r="I69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2" s="9" t="str">
        <f>VLOOKUP(Table1[[#This Row],[Área avaliada]],Endereços!A:B,2,0)</f>
        <v>Área Azul</v>
      </c>
      <c r="K692" t="str">
        <f>VLOOKUP(Table1[[#This Row],[Nome do avaliador ]],M:N,2,0)</f>
        <v>A</v>
      </c>
    </row>
    <row r="693" spans="1:11" x14ac:dyDescent="0.3">
      <c r="A693">
        <v>692</v>
      </c>
      <c r="B693" s="1">
        <v>45895.345254629603</v>
      </c>
      <c r="C693" s="1">
        <v>45895.345694444397</v>
      </c>
      <c r="D693" t="s">
        <v>19</v>
      </c>
      <c r="E693" t="s">
        <v>33</v>
      </c>
      <c r="F693" s="2">
        <v>9068</v>
      </c>
      <c r="G693" s="2" t="str">
        <f>VLOOKUP(F693,Produtos!A:B,2,FALSE)</f>
        <v>SKOL LATA 350ML SH C/12 NPAL</v>
      </c>
      <c r="H693" t="s">
        <v>473</v>
      </c>
      <c r="I69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3" s="9" t="str">
        <f>VLOOKUP(Table1[[#This Row],[Área avaliada]],Endereços!A:B,2,0)</f>
        <v>Área Verde</v>
      </c>
      <c r="K693" t="str">
        <f>VLOOKUP(Table1[[#This Row],[Nome do avaliador ]],M:N,2,0)</f>
        <v>A</v>
      </c>
    </row>
    <row r="694" spans="1:11" x14ac:dyDescent="0.3">
      <c r="A694">
        <v>693</v>
      </c>
      <c r="B694" s="1">
        <v>45895.346944444398</v>
      </c>
      <c r="C694" s="1">
        <v>45895.347673611097</v>
      </c>
      <c r="D694" t="s">
        <v>19</v>
      </c>
      <c r="E694" t="s">
        <v>33</v>
      </c>
      <c r="F694" s="2">
        <v>9069</v>
      </c>
      <c r="G694" s="2" t="str">
        <f>VLOOKUP(F694,Produtos!A:B,2,FALSE)</f>
        <v>BRAHMA CHOPP LATA 350ML SH C/12 NPAL</v>
      </c>
      <c r="H694" t="s">
        <v>473</v>
      </c>
      <c r="I69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4" s="9" t="str">
        <f>VLOOKUP(Table1[[#This Row],[Área avaliada]],Endereços!A:B,2,0)</f>
        <v>Área Verde</v>
      </c>
      <c r="K694" t="str">
        <f>VLOOKUP(Table1[[#This Row],[Nome do avaliador ]],M:N,2,0)</f>
        <v>A</v>
      </c>
    </row>
    <row r="695" spans="1:11" x14ac:dyDescent="0.3">
      <c r="A695">
        <v>694</v>
      </c>
      <c r="B695" s="1">
        <v>45895.409849536998</v>
      </c>
      <c r="C695" s="1">
        <v>45895.410289351901</v>
      </c>
      <c r="D695" t="s">
        <v>19</v>
      </c>
      <c r="E695" t="s">
        <v>23</v>
      </c>
      <c r="F695" s="2">
        <v>9071</v>
      </c>
      <c r="G695" s="2" t="str">
        <f>VLOOKUP(F695,Produtos!A:B,2,FALSE)</f>
        <v>CARACU LATA 350ML SH C/12 NPAL</v>
      </c>
      <c r="H695" t="s">
        <v>473</v>
      </c>
      <c r="I69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5" s="9" t="str">
        <f>VLOOKUP(Table1[[#This Row],[Área avaliada]],Endereços!A:B,2,0)</f>
        <v>Área Azul</v>
      </c>
      <c r="K695" t="str">
        <f>VLOOKUP(Table1[[#This Row],[Nome do avaliador ]],M:N,2,0)</f>
        <v>A</v>
      </c>
    </row>
    <row r="696" spans="1:11" x14ac:dyDescent="0.3">
      <c r="A696">
        <v>695</v>
      </c>
      <c r="B696" s="1">
        <v>45895.428645833301</v>
      </c>
      <c r="C696" s="1">
        <v>45895.429224537002</v>
      </c>
      <c r="D696" t="s">
        <v>19</v>
      </c>
      <c r="E696" t="s">
        <v>23</v>
      </c>
      <c r="F696" s="2">
        <v>19310</v>
      </c>
      <c r="G696" s="2" t="str">
        <f>VLOOKUP(F696,Produtos!A:B,2,FALSE)</f>
        <v>ORIGINAL LATA 350ML CX CARTAO C/12 NPAL</v>
      </c>
      <c r="H696" t="s">
        <v>478</v>
      </c>
      <c r="I69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6" s="9" t="str">
        <f>VLOOKUP(Table1[[#This Row],[Área avaliada]],Endereços!A:B,2,0)</f>
        <v>Área Azul</v>
      </c>
      <c r="K696" t="str">
        <f>VLOOKUP(Table1[[#This Row],[Nome do avaliador ]],M:N,2,0)</f>
        <v>A</v>
      </c>
    </row>
    <row r="697" spans="1:11" x14ac:dyDescent="0.3">
      <c r="A697">
        <v>696</v>
      </c>
      <c r="B697" s="1">
        <v>45895.430324074099</v>
      </c>
      <c r="C697" s="1">
        <v>45895.431342592601</v>
      </c>
      <c r="D697" t="s">
        <v>19</v>
      </c>
      <c r="E697" t="s">
        <v>23</v>
      </c>
      <c r="F697" s="2">
        <v>503</v>
      </c>
      <c r="G697" s="2" t="str">
        <f>VLOOKUP(F697,Produtos!A:B,2,FALSE)</f>
        <v>SUKITA PET 2L CAIXA C/6</v>
      </c>
      <c r="H697" t="s">
        <v>478</v>
      </c>
      <c r="I69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7" s="9" t="str">
        <f>VLOOKUP(Table1[[#This Row],[Área avaliada]],Endereços!A:B,2,0)</f>
        <v>Área Azul</v>
      </c>
      <c r="K697" t="str">
        <f>VLOOKUP(Table1[[#This Row],[Nome do avaliador ]],M:N,2,0)</f>
        <v>A</v>
      </c>
    </row>
    <row r="698" spans="1:11" x14ac:dyDescent="0.3">
      <c r="A698">
        <v>697</v>
      </c>
      <c r="B698" s="1">
        <v>45895.434884259303</v>
      </c>
      <c r="C698" s="1">
        <v>45895.435486111099</v>
      </c>
      <c r="D698" t="s">
        <v>19</v>
      </c>
      <c r="E698" t="s">
        <v>23</v>
      </c>
      <c r="F698" s="2">
        <v>9069</v>
      </c>
      <c r="G698" s="2" t="str">
        <f>VLOOKUP(F698,Produtos!A:B,2,FALSE)</f>
        <v>BRAHMA CHOPP LATA 350ML SH C/12 NPAL</v>
      </c>
      <c r="H698" t="s">
        <v>473</v>
      </c>
      <c r="I69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8" s="9" t="str">
        <f>VLOOKUP(Table1[[#This Row],[Área avaliada]],Endereços!A:B,2,0)</f>
        <v>Área Azul</v>
      </c>
      <c r="K698" t="str">
        <f>VLOOKUP(Table1[[#This Row],[Nome do avaliador ]],M:N,2,0)</f>
        <v>A</v>
      </c>
    </row>
    <row r="699" spans="1:11" x14ac:dyDescent="0.3">
      <c r="A699">
        <v>698</v>
      </c>
      <c r="B699" s="1">
        <v>45895.520034722198</v>
      </c>
      <c r="C699" s="1">
        <v>45895.520555555602</v>
      </c>
      <c r="D699" t="s">
        <v>19</v>
      </c>
      <c r="E699" t="s">
        <v>23</v>
      </c>
      <c r="F699" s="2">
        <v>9071</v>
      </c>
      <c r="G699" s="2" t="str">
        <f>VLOOKUP(F699,Produtos!A:B,2,FALSE)</f>
        <v>CARACU LATA 350ML SH C/12 NPAL</v>
      </c>
      <c r="H699" t="s">
        <v>473</v>
      </c>
      <c r="I69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9" s="9" t="str">
        <f>VLOOKUP(Table1[[#This Row],[Área avaliada]],Endereços!A:B,2,0)</f>
        <v>Área Azul</v>
      </c>
      <c r="K699" t="str">
        <f>VLOOKUP(Table1[[#This Row],[Nome do avaliador ]],M:N,2,0)</f>
        <v>A</v>
      </c>
    </row>
    <row r="700" spans="1:11" x14ac:dyDescent="0.3">
      <c r="A700">
        <v>699</v>
      </c>
      <c r="B700" s="1">
        <v>45895.522013888898</v>
      </c>
      <c r="C700" s="1">
        <v>45895.522638888899</v>
      </c>
      <c r="D700" t="s">
        <v>19</v>
      </c>
      <c r="E700" t="s">
        <v>23</v>
      </c>
      <c r="F700" s="2">
        <v>9071</v>
      </c>
      <c r="G700" s="2" t="str">
        <f>VLOOKUP(F700,Produtos!A:B,2,FALSE)</f>
        <v>CARACU LATA 350ML SH C/12 NPAL</v>
      </c>
      <c r="H700" t="s">
        <v>473</v>
      </c>
      <c r="I70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0" s="9" t="str">
        <f>VLOOKUP(Table1[[#This Row],[Área avaliada]],Endereços!A:B,2,0)</f>
        <v>Área Azul</v>
      </c>
      <c r="K700" t="str">
        <f>VLOOKUP(Table1[[#This Row],[Nome do avaliador ]],M:N,2,0)</f>
        <v>A</v>
      </c>
    </row>
    <row r="701" spans="1:11" x14ac:dyDescent="0.3">
      <c r="A701">
        <v>700</v>
      </c>
      <c r="B701" s="1">
        <v>45895.548831018503</v>
      </c>
      <c r="C701" s="1">
        <v>45895.549351851798</v>
      </c>
      <c r="D701" t="s">
        <v>19</v>
      </c>
      <c r="E701" t="s">
        <v>23</v>
      </c>
      <c r="F701" s="2">
        <v>23263</v>
      </c>
      <c r="G701" s="2" t="e">
        <f>VLOOKUP(F701,Produtos!A:B,2,FALSE)</f>
        <v>#N/A</v>
      </c>
      <c r="H701" t="s">
        <v>478</v>
      </c>
      <c r="I70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1" s="9" t="str">
        <f>VLOOKUP(Table1[[#This Row],[Área avaliada]],Endereços!A:B,2,0)</f>
        <v>Área Azul</v>
      </c>
      <c r="K701" t="str">
        <f>VLOOKUP(Table1[[#This Row],[Nome do avaliador ]],M:N,2,0)</f>
        <v>A</v>
      </c>
    </row>
    <row r="702" spans="1:11" x14ac:dyDescent="0.3">
      <c r="A702">
        <v>701</v>
      </c>
      <c r="B702" s="1">
        <v>45895.554456018501</v>
      </c>
      <c r="C702" s="1">
        <v>45895.554976851803</v>
      </c>
      <c r="D702" t="s">
        <v>28</v>
      </c>
      <c r="E702" t="s">
        <v>14</v>
      </c>
      <c r="F702" t="s">
        <v>42</v>
      </c>
      <c r="G702" t="e">
        <f>VLOOKUP(F702,Produtos!A:B,2,FALSE)</f>
        <v>#N/A</v>
      </c>
      <c r="H702" t="s">
        <v>482</v>
      </c>
      <c r="I70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2" s="9" t="str">
        <f>VLOOKUP(Table1[[#This Row],[Área avaliada]],Endereços!A:B,2,0)</f>
        <v>Picking Baixo Giro</v>
      </c>
      <c r="K702" t="str">
        <f>VLOOKUP(Table1[[#This Row],[Nome do avaliador ]],M:N,2,0)</f>
        <v>A</v>
      </c>
    </row>
    <row r="703" spans="1:11" x14ac:dyDescent="0.3">
      <c r="A703">
        <v>702</v>
      </c>
      <c r="B703" s="1">
        <v>45895.555219907401</v>
      </c>
      <c r="C703" s="1">
        <v>45895.5559953704</v>
      </c>
      <c r="D703" t="s">
        <v>28</v>
      </c>
      <c r="E703" t="s">
        <v>14</v>
      </c>
      <c r="F703" t="s">
        <v>43</v>
      </c>
      <c r="G703" t="e">
        <f>VLOOKUP(F703,Produtos!A:B,2,FALSE)</f>
        <v>#N/A</v>
      </c>
      <c r="H703" t="s">
        <v>482</v>
      </c>
      <c r="I70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3" s="9" t="str">
        <f>VLOOKUP(Table1[[#This Row],[Área avaliada]],Endereços!A:B,2,0)</f>
        <v>Picking Baixo Giro</v>
      </c>
      <c r="K703" t="str">
        <f>VLOOKUP(Table1[[#This Row],[Nome do avaliador ]],M:N,2,0)</f>
        <v>A</v>
      </c>
    </row>
    <row r="704" spans="1:11" x14ac:dyDescent="0.3">
      <c r="A704">
        <v>703</v>
      </c>
      <c r="B704" s="1">
        <v>45895.556412037004</v>
      </c>
      <c r="C704" s="1">
        <v>45895.557083333297</v>
      </c>
      <c r="D704" t="s">
        <v>28</v>
      </c>
      <c r="E704" t="s">
        <v>14</v>
      </c>
      <c r="F704" t="s">
        <v>44</v>
      </c>
      <c r="G704" t="e">
        <f>VLOOKUP(F704,Produtos!A:B,2,FALSE)</f>
        <v>#N/A</v>
      </c>
      <c r="H704" t="s">
        <v>482</v>
      </c>
      <c r="I70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4" s="9" t="str">
        <f>VLOOKUP(Table1[[#This Row],[Área avaliada]],Endereços!A:B,2,0)</f>
        <v>Picking Baixo Giro</v>
      </c>
      <c r="K704" t="str">
        <f>VLOOKUP(Table1[[#This Row],[Nome do avaliador ]],M:N,2,0)</f>
        <v>A</v>
      </c>
    </row>
    <row r="705" spans="1:11" x14ac:dyDescent="0.3">
      <c r="A705">
        <v>704</v>
      </c>
      <c r="B705" s="1">
        <v>45895.557199074101</v>
      </c>
      <c r="C705" s="1">
        <v>45895.557685185202</v>
      </c>
      <c r="D705" t="s">
        <v>28</v>
      </c>
      <c r="E705" t="s">
        <v>14</v>
      </c>
      <c r="F705" t="s">
        <v>45</v>
      </c>
      <c r="G705" t="e">
        <f>VLOOKUP(F705,Produtos!A:B,2,FALSE)</f>
        <v>#N/A</v>
      </c>
      <c r="H705" t="s">
        <v>482</v>
      </c>
      <c r="I7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5" s="9" t="str">
        <f>VLOOKUP(Table1[[#This Row],[Área avaliada]],Endereços!A:B,2,0)</f>
        <v>Picking Baixo Giro</v>
      </c>
      <c r="K705" t="str">
        <f>VLOOKUP(Table1[[#This Row],[Nome do avaliador ]],M:N,2,0)</f>
        <v>A</v>
      </c>
    </row>
    <row r="706" spans="1:11" x14ac:dyDescent="0.3">
      <c r="A706">
        <v>705</v>
      </c>
      <c r="B706" s="1">
        <v>45895.5715740741</v>
      </c>
      <c r="C706" s="1">
        <v>45895.572303240697</v>
      </c>
      <c r="D706" t="s">
        <v>17</v>
      </c>
      <c r="E706" t="s">
        <v>23</v>
      </c>
      <c r="F706" s="2">
        <v>9067</v>
      </c>
      <c r="G706" s="2" t="str">
        <f>VLOOKUP(F706,Produtos!A:B,2,FALSE)</f>
        <v>ANTARCTICA PILSEN LATA 350ML SH C/12 NPA</v>
      </c>
      <c r="H706" t="s">
        <v>475</v>
      </c>
      <c r="I7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6" s="9" t="str">
        <f>VLOOKUP(Table1[[#This Row],[Área avaliada]],Endereços!A:B,2,0)</f>
        <v>Área Azul</v>
      </c>
      <c r="K706" t="s">
        <v>510</v>
      </c>
    </row>
    <row r="707" spans="1:11" x14ac:dyDescent="0.3">
      <c r="A707">
        <v>706</v>
      </c>
      <c r="B707" s="1">
        <v>45895.572314814803</v>
      </c>
      <c r="C707" s="1">
        <v>45895.572847222204</v>
      </c>
      <c r="D707" t="s">
        <v>17</v>
      </c>
      <c r="E707" t="s">
        <v>23</v>
      </c>
      <c r="F707" s="2">
        <v>9067</v>
      </c>
      <c r="G707" s="2" t="str">
        <f>VLOOKUP(F707,Produtos!A:B,2,FALSE)</f>
        <v>ANTARCTICA PILSEN LATA 350ML SH C/12 NPA</v>
      </c>
      <c r="H707" t="s">
        <v>475</v>
      </c>
      <c r="I7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7" s="9" t="str">
        <f>VLOOKUP(Table1[[#This Row],[Área avaliada]],Endereços!A:B,2,0)</f>
        <v>Área Azul</v>
      </c>
      <c r="K707" t="s">
        <v>510</v>
      </c>
    </row>
    <row r="708" spans="1:11" x14ac:dyDescent="0.3">
      <c r="A708">
        <v>707</v>
      </c>
      <c r="B708" s="1">
        <v>45895.623993055597</v>
      </c>
      <c r="C708" s="1">
        <v>45895.624814814801</v>
      </c>
      <c r="D708" t="s">
        <v>17</v>
      </c>
      <c r="E708" t="s">
        <v>25</v>
      </c>
      <c r="F708" s="2">
        <v>20651</v>
      </c>
      <c r="G708" s="2" t="str">
        <f>VLOOKUP(F708,Produtos!A:B,2,FALSE)</f>
        <v>CORONA N LT SLEEK 350ML CX 8</v>
      </c>
      <c r="H708" t="s">
        <v>475</v>
      </c>
      <c r="I7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8" s="9" t="str">
        <f>VLOOKUP(Table1[[#This Row],[Área avaliada]],Endereços!A:B,2,0)</f>
        <v>Área Azul</v>
      </c>
      <c r="K708" t="s">
        <v>510</v>
      </c>
    </row>
    <row r="709" spans="1:11" x14ac:dyDescent="0.3">
      <c r="A709">
        <v>708</v>
      </c>
      <c r="B709" s="1">
        <v>45896.309872685197</v>
      </c>
      <c r="C709" s="1">
        <v>45896.310347222199</v>
      </c>
      <c r="D709" t="s">
        <v>17</v>
      </c>
      <c r="E709" t="s">
        <v>23</v>
      </c>
      <c r="F709" s="2">
        <v>9081</v>
      </c>
      <c r="G709" s="2" t="str">
        <f>VLOOKUP(F709,Produtos!A:B,2,FALSE)</f>
        <v>MALZBIER BRAHMA LATA 350ML SH C/12 NPAL</v>
      </c>
      <c r="H709" t="s">
        <v>475</v>
      </c>
      <c r="I7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9" s="9" t="str">
        <f>VLOOKUP(Table1[[#This Row],[Área avaliada]],Endereços!A:B,2,0)</f>
        <v>Área Azul</v>
      </c>
      <c r="K709" t="s">
        <v>510</v>
      </c>
    </row>
    <row r="710" spans="1:11" x14ac:dyDescent="0.3">
      <c r="A710">
        <v>709</v>
      </c>
      <c r="B710" s="1">
        <v>45896.310370370396</v>
      </c>
      <c r="C710" s="1">
        <v>45896.3108333333</v>
      </c>
      <c r="D710" t="s">
        <v>17</v>
      </c>
      <c r="E710" t="s">
        <v>23</v>
      </c>
      <c r="F710" s="2">
        <v>18765</v>
      </c>
      <c r="G710" s="2" t="str">
        <f>VLOOKUP(F710,Produtos!A:B,2,FALSE)</f>
        <v>PATAGONIA WEISSE NAC LATA 473ML 6 PACK</v>
      </c>
      <c r="H710" t="s">
        <v>475</v>
      </c>
      <c r="I7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0" s="9" t="str">
        <f>VLOOKUP(Table1[[#This Row],[Área avaliada]],Endereços!A:B,2,0)</f>
        <v>Área Azul</v>
      </c>
      <c r="K710" t="s">
        <v>510</v>
      </c>
    </row>
    <row r="711" spans="1:11" x14ac:dyDescent="0.3">
      <c r="A711">
        <v>710</v>
      </c>
      <c r="B711" s="1">
        <v>45896.310844907399</v>
      </c>
      <c r="C711" s="1">
        <v>45896.311365740701</v>
      </c>
      <c r="D711" t="s">
        <v>17</v>
      </c>
      <c r="E711" t="s">
        <v>23</v>
      </c>
      <c r="F711" s="2">
        <v>14135</v>
      </c>
      <c r="G711" s="2" t="str">
        <f>VLOOKUP(F711,Produtos!A:B,2,FALSE)</f>
        <v>BUDWEISER LT 473ML SIX-PACK SH C/2 NPAL</v>
      </c>
      <c r="H711" t="s">
        <v>475</v>
      </c>
      <c r="I7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1" s="9" t="str">
        <f>VLOOKUP(Table1[[#This Row],[Área avaliada]],Endereços!A:B,2,0)</f>
        <v>Área Azul</v>
      </c>
      <c r="K711" t="s">
        <v>510</v>
      </c>
    </row>
    <row r="712" spans="1:11" x14ac:dyDescent="0.3">
      <c r="A712">
        <v>711</v>
      </c>
      <c r="B712" s="1">
        <v>45896.311388888898</v>
      </c>
      <c r="C712" s="1">
        <v>45896.311932870398</v>
      </c>
      <c r="D712" t="s">
        <v>17</v>
      </c>
      <c r="E712" t="s">
        <v>23</v>
      </c>
      <c r="F712" s="2">
        <v>9081</v>
      </c>
      <c r="G712" s="2" t="str">
        <f>VLOOKUP(F712,Produtos!A:B,2,FALSE)</f>
        <v>MALZBIER BRAHMA LATA 350ML SH C/12 NPAL</v>
      </c>
      <c r="H712" t="s">
        <v>475</v>
      </c>
      <c r="I7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2" s="9" t="str">
        <f>VLOOKUP(Table1[[#This Row],[Área avaliada]],Endereços!A:B,2,0)</f>
        <v>Área Azul</v>
      </c>
      <c r="K712" t="s">
        <v>510</v>
      </c>
    </row>
    <row r="713" spans="1:11" x14ac:dyDescent="0.3">
      <c r="A713">
        <v>712</v>
      </c>
      <c r="B713" s="1">
        <v>45896.311967592599</v>
      </c>
      <c r="C713" s="1">
        <v>45896.3125462963</v>
      </c>
      <c r="D713" t="s">
        <v>17</v>
      </c>
      <c r="E713" t="s">
        <v>23</v>
      </c>
      <c r="F713" s="2">
        <v>9089</v>
      </c>
      <c r="G713" s="2" t="str">
        <f>VLOOKUP(F713,Produtos!A:B,2,FALSE)</f>
        <v>SUKITA LATA 350ML SH C/12 NPAL</v>
      </c>
      <c r="H713" t="s">
        <v>475</v>
      </c>
      <c r="I7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3" s="9" t="str">
        <f>VLOOKUP(Table1[[#This Row],[Área avaliada]],Endereços!A:B,2,0)</f>
        <v>Área Azul</v>
      </c>
      <c r="K713" t="s">
        <v>510</v>
      </c>
    </row>
    <row r="714" spans="1:11" x14ac:dyDescent="0.3">
      <c r="A714">
        <v>713</v>
      </c>
      <c r="B714" s="1">
        <v>45896.315405092602</v>
      </c>
      <c r="C714" s="1">
        <v>45896.315995370402</v>
      </c>
      <c r="D714" t="s">
        <v>17</v>
      </c>
      <c r="E714" t="s">
        <v>25</v>
      </c>
      <c r="F714" s="2">
        <v>9096</v>
      </c>
      <c r="G714" s="2" t="str">
        <f>VLOOKUP(F714,Produtos!A:B,2,FALSE)</f>
        <v>PEPSI COLA LATA 350ML SH C/12 NPAL</v>
      </c>
      <c r="H714" t="s">
        <v>475</v>
      </c>
      <c r="I7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4" s="9" t="str">
        <f>VLOOKUP(Table1[[#This Row],[Área avaliada]],Endereços!A:B,2,0)</f>
        <v>Área Azul</v>
      </c>
      <c r="K714" t="s">
        <v>510</v>
      </c>
    </row>
    <row r="715" spans="1:11" x14ac:dyDescent="0.3">
      <c r="A715">
        <v>714</v>
      </c>
      <c r="B715" s="1">
        <v>45896.3203587963</v>
      </c>
      <c r="C715" s="1">
        <v>45896.321099537003</v>
      </c>
      <c r="D715" t="s">
        <v>19</v>
      </c>
      <c r="E715" t="s">
        <v>25</v>
      </c>
      <c r="F715" s="2">
        <v>9067</v>
      </c>
      <c r="G715" s="2" t="str">
        <f>VLOOKUP(F715,Produtos!A:B,2,FALSE)</f>
        <v>ANTARCTICA PILSEN LATA 350ML SH C/12 NPA</v>
      </c>
      <c r="H715" t="s">
        <v>473</v>
      </c>
      <c r="I7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5" s="9" t="str">
        <f>VLOOKUP(Table1[[#This Row],[Área avaliada]],Endereços!A:B,2,0)</f>
        <v>Área Azul</v>
      </c>
      <c r="K715" t="str">
        <f>VLOOKUP(Table1[[#This Row],[Nome do avaliador ]],M:N,2,0)</f>
        <v>A</v>
      </c>
    </row>
    <row r="716" spans="1:11" x14ac:dyDescent="0.3">
      <c r="A716">
        <v>715</v>
      </c>
      <c r="B716" s="1">
        <v>45896.321180555598</v>
      </c>
      <c r="C716" s="1">
        <v>45896.321747685201</v>
      </c>
      <c r="D716" t="s">
        <v>19</v>
      </c>
      <c r="E716" t="s">
        <v>20</v>
      </c>
      <c r="F716" s="2">
        <v>9085</v>
      </c>
      <c r="G716" s="2" t="str">
        <f>VLOOKUP(F716,Produtos!A:B,2,FALSE)</f>
        <v>GUARANA CHP ANTARCT DIET LT350ML SHC/12</v>
      </c>
      <c r="H716" t="s">
        <v>473</v>
      </c>
      <c r="I7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6" s="9" t="str">
        <f>VLOOKUP(Table1[[#This Row],[Área avaliada]],Endereços!A:B,2,0)</f>
        <v>Área Azul</v>
      </c>
      <c r="K716" t="str">
        <f>VLOOKUP(Table1[[#This Row],[Nome do avaliador ]],M:N,2,0)</f>
        <v>A</v>
      </c>
    </row>
    <row r="717" spans="1:11" x14ac:dyDescent="0.3">
      <c r="A717">
        <v>716</v>
      </c>
      <c r="B717" s="1">
        <v>45896.323888888903</v>
      </c>
      <c r="C717" s="1">
        <v>45896.324490740699</v>
      </c>
      <c r="D717" t="s">
        <v>28</v>
      </c>
      <c r="E717" t="s">
        <v>23</v>
      </c>
      <c r="F717" s="2">
        <v>19310</v>
      </c>
      <c r="G717" s="2" t="str">
        <f>VLOOKUP(F717,Produtos!A:B,2,FALSE)</f>
        <v>ORIGINAL LATA 350ML CX CARTAO C/12 NPAL</v>
      </c>
      <c r="H717" t="s">
        <v>482</v>
      </c>
      <c r="I7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7" s="9" t="str">
        <f>VLOOKUP(Table1[[#This Row],[Área avaliada]],Endereços!A:B,2,0)</f>
        <v>Área Azul</v>
      </c>
      <c r="K717" t="str">
        <f>VLOOKUP(Table1[[#This Row],[Nome do avaliador ]],M:N,2,0)</f>
        <v>A</v>
      </c>
    </row>
    <row r="718" spans="1:11" x14ac:dyDescent="0.3">
      <c r="A718">
        <v>717</v>
      </c>
      <c r="B718" s="1">
        <v>45896.323946759301</v>
      </c>
      <c r="C718" s="1">
        <v>45896.324768518498</v>
      </c>
      <c r="D718" t="s">
        <v>19</v>
      </c>
      <c r="E718" t="s">
        <v>23</v>
      </c>
      <c r="F718" s="2">
        <v>9068</v>
      </c>
      <c r="G718" s="2" t="str">
        <f>VLOOKUP(F718,Produtos!A:B,2,FALSE)</f>
        <v>SKOL LATA 350ML SH C/12 NPAL</v>
      </c>
      <c r="H718" t="s">
        <v>473</v>
      </c>
      <c r="I7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8" s="9" t="str">
        <f>VLOOKUP(Table1[[#This Row],[Área avaliada]],Endereços!A:B,2,0)</f>
        <v>Área Azul</v>
      </c>
      <c r="K718" t="str">
        <f>VLOOKUP(Table1[[#This Row],[Nome do avaliador ]],M:N,2,0)</f>
        <v>A</v>
      </c>
    </row>
    <row r="719" spans="1:11" x14ac:dyDescent="0.3">
      <c r="A719">
        <v>718</v>
      </c>
      <c r="B719" s="1">
        <v>45896.451874999999</v>
      </c>
      <c r="C719" s="1">
        <v>45896.4523611111</v>
      </c>
      <c r="D719" t="s">
        <v>17</v>
      </c>
      <c r="E719" t="s">
        <v>25</v>
      </c>
      <c r="F719" s="2">
        <v>18807</v>
      </c>
      <c r="G719" s="2" t="str">
        <f>VLOOKUP(F719,Produtos!A:B,2,FALSE)</f>
        <v>STELLA ARTOIS LN 330ML 6PACK SHR C 4</v>
      </c>
      <c r="H719" t="s">
        <v>475</v>
      </c>
      <c r="I7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9" s="9" t="str">
        <f>VLOOKUP(Table1[[#This Row],[Área avaliada]],Endereços!A:B,2,0)</f>
        <v>Área Azul</v>
      </c>
      <c r="K719" t="s">
        <v>510</v>
      </c>
    </row>
    <row r="720" spans="1:11" x14ac:dyDescent="0.3">
      <c r="A720">
        <v>719</v>
      </c>
      <c r="B720" s="1">
        <v>45896.459212962996</v>
      </c>
      <c r="C720" s="1">
        <v>45896.459803240701</v>
      </c>
      <c r="D720" t="s">
        <v>17</v>
      </c>
      <c r="E720" t="s">
        <v>23</v>
      </c>
      <c r="F720" s="2">
        <v>9092</v>
      </c>
      <c r="G720" s="2" t="str">
        <f>VLOOKUP(F720,Produtos!A:B,2,FALSE)</f>
        <v>TONICA ANTARCTICA DIET LT350MLSHC/12 PAL</v>
      </c>
      <c r="H720" t="s">
        <v>475</v>
      </c>
      <c r="I7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0" s="9" t="str">
        <f>VLOOKUP(Table1[[#This Row],[Área avaliada]],Endereços!A:B,2,0)</f>
        <v>Área Azul</v>
      </c>
      <c r="K720" t="s">
        <v>510</v>
      </c>
    </row>
    <row r="721" spans="1:11" x14ac:dyDescent="0.3">
      <c r="A721">
        <v>720</v>
      </c>
      <c r="B721" s="1">
        <v>45896.461782407401</v>
      </c>
      <c r="C721" s="1">
        <v>45896.462291666699</v>
      </c>
      <c r="D721" t="s">
        <v>17</v>
      </c>
      <c r="E721" t="s">
        <v>23</v>
      </c>
      <c r="F721" s="2">
        <v>14135</v>
      </c>
      <c r="G721" s="2" t="str">
        <f>VLOOKUP(F721,Produtos!A:B,2,FALSE)</f>
        <v>BUDWEISER LT 473ML SIX-PACK SH C/2 NPAL</v>
      </c>
      <c r="H721" t="s">
        <v>475</v>
      </c>
      <c r="I7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1" s="9" t="str">
        <f>VLOOKUP(Table1[[#This Row],[Área avaliada]],Endereços!A:B,2,0)</f>
        <v>Área Azul</v>
      </c>
      <c r="K721" t="s">
        <v>510</v>
      </c>
    </row>
    <row r="722" spans="1:11" x14ac:dyDescent="0.3">
      <c r="A722">
        <v>721</v>
      </c>
      <c r="B722" s="1">
        <v>45896.550520833298</v>
      </c>
      <c r="C722" s="1">
        <v>45896.550937499997</v>
      </c>
      <c r="D722" t="s">
        <v>19</v>
      </c>
      <c r="E722" t="s">
        <v>23</v>
      </c>
      <c r="F722" s="2">
        <v>9320</v>
      </c>
      <c r="G722" s="2" t="str">
        <f>VLOOKUP(F722,Produtos!A:B,2,FALSE)</f>
        <v>BRAHMA CHOPP LT 473ML SH C/12 NPAL</v>
      </c>
      <c r="H722" t="s">
        <v>473</v>
      </c>
      <c r="I7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2" s="9" t="str">
        <f>VLOOKUP(Table1[[#This Row],[Área avaliada]],Endereços!A:B,2,0)</f>
        <v>Área Azul</v>
      </c>
      <c r="K722" t="str">
        <f>VLOOKUP(Table1[[#This Row],[Nome do avaliador ]],M:N,2,0)</f>
        <v>A</v>
      </c>
    </row>
    <row r="723" spans="1:11" x14ac:dyDescent="0.3">
      <c r="A723">
        <v>722</v>
      </c>
      <c r="B723" s="1">
        <v>45896.551770833299</v>
      </c>
      <c r="C723" s="1">
        <v>45896.552222222199</v>
      </c>
      <c r="D723" t="s">
        <v>19</v>
      </c>
      <c r="E723" t="s">
        <v>23</v>
      </c>
      <c r="F723" s="2">
        <v>34608</v>
      </c>
      <c r="G723" s="2" t="str">
        <f>VLOOKUP(F723,Produtos!A:B,2,FALSE)</f>
        <v>SKOL LATA 350ML SH C/12 MULTIPAK</v>
      </c>
      <c r="H723" t="s">
        <v>473</v>
      </c>
      <c r="I7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3" s="9" t="str">
        <f>VLOOKUP(Table1[[#This Row],[Área avaliada]],Endereços!A:B,2,0)</f>
        <v>Área Azul</v>
      </c>
      <c r="K723" t="str">
        <f>VLOOKUP(Table1[[#This Row],[Nome do avaliador ]],M:N,2,0)</f>
        <v>A</v>
      </c>
    </row>
    <row r="724" spans="1:11" x14ac:dyDescent="0.3">
      <c r="A724">
        <v>723</v>
      </c>
      <c r="B724" s="1">
        <v>45896.5550925926</v>
      </c>
      <c r="C724" s="1">
        <v>45896.555625000001</v>
      </c>
      <c r="D724" t="s">
        <v>19</v>
      </c>
      <c r="E724" t="s">
        <v>25</v>
      </c>
      <c r="F724" s="2">
        <v>19310</v>
      </c>
      <c r="G724" s="2" t="str">
        <f>VLOOKUP(F724,Produtos!A:B,2,FALSE)</f>
        <v>ORIGINAL LATA 350ML CX CARTAO C/12 NPAL</v>
      </c>
      <c r="H724" t="s">
        <v>473</v>
      </c>
      <c r="I7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4" s="9" t="str">
        <f>VLOOKUP(Table1[[#This Row],[Área avaliada]],Endereços!A:B,2,0)</f>
        <v>Área Azul</v>
      </c>
      <c r="K724" t="str">
        <f>VLOOKUP(Table1[[#This Row],[Nome do avaliador ]],M:N,2,0)</f>
        <v>A</v>
      </c>
    </row>
    <row r="725" spans="1:11" x14ac:dyDescent="0.3">
      <c r="A725">
        <v>724</v>
      </c>
      <c r="B725" s="1">
        <v>45896.556631944397</v>
      </c>
      <c r="C725" s="1">
        <v>45896.557731481502</v>
      </c>
      <c r="D725" t="s">
        <v>19</v>
      </c>
      <c r="E725" t="s">
        <v>25</v>
      </c>
      <c r="F725" s="2">
        <v>9069</v>
      </c>
      <c r="G725" s="2" t="str">
        <f>VLOOKUP(F725,Produtos!A:B,2,FALSE)</f>
        <v>BRAHMA CHOPP LATA 350ML SH C/12 NPAL</v>
      </c>
      <c r="H725" t="s">
        <v>473</v>
      </c>
      <c r="I7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5" s="9" t="str">
        <f>VLOOKUP(Table1[[#This Row],[Área avaliada]],Endereços!A:B,2,0)</f>
        <v>Área Azul</v>
      </c>
      <c r="K725" t="str">
        <f>VLOOKUP(Table1[[#This Row],[Nome do avaliador ]],M:N,2,0)</f>
        <v>A</v>
      </c>
    </row>
    <row r="726" spans="1:11" x14ac:dyDescent="0.3">
      <c r="A726">
        <v>725</v>
      </c>
      <c r="B726" s="1">
        <v>45896.579837963</v>
      </c>
      <c r="C726" s="1">
        <v>45896.580381944397</v>
      </c>
      <c r="D726" t="s">
        <v>17</v>
      </c>
      <c r="E726" t="s">
        <v>20</v>
      </c>
      <c r="F726" s="2">
        <v>9085</v>
      </c>
      <c r="G726" s="2" t="str">
        <f>VLOOKUP(F726,Produtos!A:B,2,FALSE)</f>
        <v>GUARANA CHP ANTARCT DIET LT350ML SHC/12</v>
      </c>
      <c r="H726" t="s">
        <v>475</v>
      </c>
      <c r="I7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6" s="9" t="str">
        <f>VLOOKUP(Table1[[#This Row],[Área avaliada]],Endereços!A:B,2,0)</f>
        <v>Área Azul</v>
      </c>
      <c r="K726" t="s">
        <v>510</v>
      </c>
    </row>
    <row r="727" spans="1:11" x14ac:dyDescent="0.3">
      <c r="A727">
        <v>726</v>
      </c>
      <c r="B727" s="1">
        <v>45896.581909722197</v>
      </c>
      <c r="C727" s="1">
        <v>45896.583969907399</v>
      </c>
      <c r="D727" t="s">
        <v>17</v>
      </c>
      <c r="E727" t="s">
        <v>23</v>
      </c>
      <c r="F727" s="2">
        <v>9068</v>
      </c>
      <c r="G727" s="2" t="str">
        <f>VLOOKUP(F727,Produtos!A:B,2,FALSE)</f>
        <v>SKOL LATA 350ML SH C/12 NPAL</v>
      </c>
      <c r="H727" t="s">
        <v>475</v>
      </c>
      <c r="I7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7" s="9" t="str">
        <f>VLOOKUP(Table1[[#This Row],[Área avaliada]],Endereços!A:B,2,0)</f>
        <v>Área Azul</v>
      </c>
      <c r="K727" t="s">
        <v>510</v>
      </c>
    </row>
    <row r="728" spans="1:11" x14ac:dyDescent="0.3">
      <c r="A728">
        <v>727</v>
      </c>
      <c r="B728" s="1">
        <v>45897.4352083333</v>
      </c>
      <c r="C728" s="1">
        <v>45897.435624999998</v>
      </c>
      <c r="D728" t="s">
        <v>19</v>
      </c>
      <c r="E728" t="s">
        <v>23</v>
      </c>
      <c r="F728" s="2">
        <v>17797</v>
      </c>
      <c r="G728" s="2" t="str">
        <f>VLOOKUP(F728,Produtos!A:B,2,FALSE)</f>
        <v>BRAHMA CHOPP LATA 350ML SH 18 MULTIPACK</v>
      </c>
      <c r="H728" t="s">
        <v>473</v>
      </c>
      <c r="I7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8" s="9" t="str">
        <f>VLOOKUP(Table1[[#This Row],[Área avaliada]],Endereços!A:B,2,0)</f>
        <v>Área Azul</v>
      </c>
      <c r="K728" t="str">
        <f>VLOOKUP(Table1[[#This Row],[Nome do avaliador ]],M:N,2,0)</f>
        <v>A</v>
      </c>
    </row>
    <row r="729" spans="1:11" x14ac:dyDescent="0.3">
      <c r="A729">
        <v>728</v>
      </c>
      <c r="B729" s="1">
        <v>45897.436805555597</v>
      </c>
      <c r="C729" s="1">
        <v>45897.437222222201</v>
      </c>
      <c r="D729" t="s">
        <v>19</v>
      </c>
      <c r="E729" t="s">
        <v>23</v>
      </c>
      <c r="F729" s="2">
        <v>2349</v>
      </c>
      <c r="G729" s="2" t="str">
        <f>VLOOKUP(F729,Produtos!A:B,2,FALSE)</f>
        <v>GUARANA CHP ANTARCTICA PET 2L CAIXA C/6</v>
      </c>
      <c r="H729" t="s">
        <v>473</v>
      </c>
      <c r="I7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9" s="9" t="str">
        <f>VLOOKUP(Table1[[#This Row],[Área avaliada]],Endereços!A:B,2,0)</f>
        <v>Área Azul</v>
      </c>
      <c r="K729" t="str">
        <f>VLOOKUP(Table1[[#This Row],[Nome do avaliador ]],M:N,2,0)</f>
        <v>A</v>
      </c>
    </row>
    <row r="730" spans="1:11" x14ac:dyDescent="0.3">
      <c r="A730">
        <v>729</v>
      </c>
      <c r="B730" s="1">
        <v>45897.4597685185</v>
      </c>
      <c r="C730" s="1">
        <v>45897.460462962998</v>
      </c>
      <c r="D730" t="s">
        <v>19</v>
      </c>
      <c r="E730" t="s">
        <v>25</v>
      </c>
      <c r="F730" s="2">
        <v>8923</v>
      </c>
      <c r="G730" s="2" t="str">
        <f>VLOOKUP(F730,Produtos!A:B,2,FALSE)</f>
        <v>PEPSI COLA PET 600ML CX C/12 NPAL</v>
      </c>
      <c r="H730" t="s">
        <v>473</v>
      </c>
      <c r="I7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0" s="9" t="str">
        <f>VLOOKUP(Table1[[#This Row],[Área avaliada]],Endereços!A:B,2,0)</f>
        <v>Área Azul</v>
      </c>
      <c r="K730" t="str">
        <f>VLOOKUP(Table1[[#This Row],[Nome do avaliador ]],M:N,2,0)</f>
        <v>A</v>
      </c>
    </row>
    <row r="731" spans="1:11" x14ac:dyDescent="0.3">
      <c r="A731">
        <v>730</v>
      </c>
      <c r="B731" s="1">
        <v>45897.567962963003</v>
      </c>
      <c r="C731" s="1">
        <v>45897.568819444401</v>
      </c>
      <c r="D731" t="s">
        <v>28</v>
      </c>
      <c r="E731" t="s">
        <v>15</v>
      </c>
      <c r="F731">
        <v>9069</v>
      </c>
      <c r="G731" t="str">
        <f>VLOOKUP(F731,Produtos!A:B,2,FALSE)</f>
        <v>BRAHMA CHOPP LATA 350ML SH C/12 NPAL</v>
      </c>
      <c r="H731" t="s">
        <v>482</v>
      </c>
      <c r="I7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1" s="9" t="str">
        <f>VLOOKUP(Table1[[#This Row],[Área avaliada]],Endereços!A:B,2,0)</f>
        <v>Picking Alto Giro</v>
      </c>
      <c r="K731" t="str">
        <f>VLOOKUP(Table1[[#This Row],[Nome do avaliador ]],M:N,2,0)</f>
        <v>A</v>
      </c>
    </row>
    <row r="732" spans="1:11" x14ac:dyDescent="0.3">
      <c r="A732">
        <v>731</v>
      </c>
      <c r="B732" s="1">
        <v>45897.568969907399</v>
      </c>
      <c r="C732" s="1">
        <v>45897.569664351897</v>
      </c>
      <c r="D732" t="s">
        <v>28</v>
      </c>
      <c r="E732" t="s">
        <v>15</v>
      </c>
      <c r="F732">
        <v>9069</v>
      </c>
      <c r="G732" t="str">
        <f>VLOOKUP(F732,Produtos!A:B,2,FALSE)</f>
        <v>BRAHMA CHOPP LATA 350ML SH C/12 NPAL</v>
      </c>
      <c r="H732" t="s">
        <v>482</v>
      </c>
      <c r="I7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2" s="9" t="str">
        <f>VLOOKUP(Table1[[#This Row],[Área avaliada]],Endereços!A:B,2,0)</f>
        <v>Picking Alto Giro</v>
      </c>
      <c r="K732" t="str">
        <f>VLOOKUP(Table1[[#This Row],[Nome do avaliador ]],M:N,2,0)</f>
        <v>A</v>
      </c>
    </row>
    <row r="733" spans="1:11" x14ac:dyDescent="0.3">
      <c r="A733">
        <v>732</v>
      </c>
      <c r="B733" s="1">
        <v>45898.344363425902</v>
      </c>
      <c r="C733" s="1">
        <v>45898.344837962999</v>
      </c>
      <c r="D733" t="s">
        <v>19</v>
      </c>
      <c r="E733" t="s">
        <v>33</v>
      </c>
      <c r="F733" s="2">
        <v>21020</v>
      </c>
      <c r="G733" s="2" t="str">
        <f>VLOOKUP(F733,Produtos!A:B,2,FALSE)</f>
        <v>BUDWEISER LT SLEEK 350ML CX CART C12</v>
      </c>
      <c r="H733" t="s">
        <v>473</v>
      </c>
      <c r="I7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3" s="9" t="str">
        <f>VLOOKUP(Table1[[#This Row],[Área avaliada]],Endereços!A:B,2,0)</f>
        <v>Área Verde</v>
      </c>
      <c r="K733" t="str">
        <f>VLOOKUP(Table1[[#This Row],[Nome do avaliador ]],M:N,2,0)</f>
        <v>A</v>
      </c>
    </row>
    <row r="734" spans="1:11" x14ac:dyDescent="0.3">
      <c r="A734">
        <v>733</v>
      </c>
      <c r="B734" s="1">
        <v>45898.345810185201</v>
      </c>
      <c r="C734" s="1">
        <v>45898.346388888902</v>
      </c>
      <c r="D734" t="s">
        <v>19</v>
      </c>
      <c r="E734" t="s">
        <v>20</v>
      </c>
      <c r="F734" s="2">
        <v>17797</v>
      </c>
      <c r="G734" s="2" t="str">
        <f>VLOOKUP(F734,Produtos!A:B,2,FALSE)</f>
        <v>BRAHMA CHOPP LATA 350ML SH 18 MULTIPACK</v>
      </c>
      <c r="H734" t="s">
        <v>473</v>
      </c>
      <c r="I7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4" s="9" t="str">
        <f>VLOOKUP(Table1[[#This Row],[Área avaliada]],Endereços!A:B,2,0)</f>
        <v>Área Azul</v>
      </c>
      <c r="K734" t="str">
        <f>VLOOKUP(Table1[[#This Row],[Nome do avaliador ]],M:N,2,0)</f>
        <v>A</v>
      </c>
    </row>
    <row r="735" spans="1:11" x14ac:dyDescent="0.3">
      <c r="A735">
        <v>734</v>
      </c>
      <c r="B735" s="1">
        <v>45898.349606481497</v>
      </c>
      <c r="C735" s="1">
        <v>45898.350115740701</v>
      </c>
      <c r="D735" t="s">
        <v>19</v>
      </c>
      <c r="E735" t="s">
        <v>23</v>
      </c>
      <c r="F735" s="2">
        <v>9067</v>
      </c>
      <c r="G735" s="2" t="str">
        <f>VLOOKUP(F735,Produtos!A:B,2,FALSE)</f>
        <v>ANTARCTICA PILSEN LATA 350ML SH C/12 NPA</v>
      </c>
      <c r="H735" t="s">
        <v>473</v>
      </c>
      <c r="I7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5" s="9" t="str">
        <f>VLOOKUP(Table1[[#This Row],[Área avaliada]],Endereços!A:B,2,0)</f>
        <v>Área Azul</v>
      </c>
      <c r="K735" t="str">
        <f>VLOOKUP(Table1[[#This Row],[Nome do avaliador ]],M:N,2,0)</f>
        <v>A</v>
      </c>
    </row>
    <row r="736" spans="1:11" x14ac:dyDescent="0.3">
      <c r="A736">
        <v>735</v>
      </c>
      <c r="B736" s="1">
        <v>45898.350162037001</v>
      </c>
      <c r="C736" s="1">
        <v>45898.3511574074</v>
      </c>
      <c r="D736" t="s">
        <v>19</v>
      </c>
      <c r="E736" t="s">
        <v>23</v>
      </c>
      <c r="F736" s="2">
        <v>9083</v>
      </c>
      <c r="G736" s="2" t="str">
        <f>VLOOKUP(F736,Produtos!A:B,2,FALSE)</f>
        <v>SKOL LT 473ML SH C/12 NPAL</v>
      </c>
      <c r="H736" t="s">
        <v>473</v>
      </c>
      <c r="I7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6" s="9" t="str">
        <f>VLOOKUP(Table1[[#This Row],[Área avaliada]],Endereços!A:B,2,0)</f>
        <v>Área Azul</v>
      </c>
      <c r="K736" t="str">
        <f>VLOOKUP(Table1[[#This Row],[Nome do avaliador ]],M:N,2,0)</f>
        <v>A</v>
      </c>
    </row>
    <row r="737" spans="1:11" x14ac:dyDescent="0.3">
      <c r="A737">
        <v>736</v>
      </c>
      <c r="B737" s="1">
        <v>45898.389803240701</v>
      </c>
      <c r="C737" s="1">
        <v>45898.390277777798</v>
      </c>
      <c r="D737" t="s">
        <v>17</v>
      </c>
      <c r="E737" t="s">
        <v>23</v>
      </c>
      <c r="F737" s="2">
        <v>9096</v>
      </c>
      <c r="G737" s="2" t="str">
        <f>VLOOKUP(F737,Produtos!A:B,2,FALSE)</f>
        <v>PEPSI COLA LATA 350ML SH C/12 NPAL</v>
      </c>
      <c r="H737" t="s">
        <v>475</v>
      </c>
      <c r="I7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7" s="9" t="str">
        <f>VLOOKUP(Table1[[#This Row],[Área avaliada]],Endereços!A:B,2,0)</f>
        <v>Área Azul</v>
      </c>
      <c r="K737" t="s">
        <v>510</v>
      </c>
    </row>
    <row r="738" spans="1:11" x14ac:dyDescent="0.3">
      <c r="A738">
        <v>737</v>
      </c>
      <c r="B738" s="1">
        <v>45898.390543981499</v>
      </c>
      <c r="C738" s="1">
        <v>45898.391307870399</v>
      </c>
      <c r="D738" t="s">
        <v>17</v>
      </c>
      <c r="E738" t="s">
        <v>23</v>
      </c>
      <c r="F738" s="2">
        <v>9071</v>
      </c>
      <c r="G738" s="2" t="str">
        <f>VLOOKUP(F738,Produtos!A:B,2,FALSE)</f>
        <v>CARACU LATA 350ML SH C/12 NPAL</v>
      </c>
      <c r="H738" t="s">
        <v>475</v>
      </c>
      <c r="I7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8" s="9" t="str">
        <f>VLOOKUP(Table1[[#This Row],[Área avaliada]],Endereços!A:B,2,0)</f>
        <v>Área Azul</v>
      </c>
      <c r="K738" t="s">
        <v>510</v>
      </c>
    </row>
    <row r="739" spans="1:11" x14ac:dyDescent="0.3">
      <c r="A739">
        <v>738</v>
      </c>
      <c r="B739" s="1">
        <v>45898.391331018502</v>
      </c>
      <c r="C739" s="1">
        <v>45898.391909722202</v>
      </c>
      <c r="D739" t="s">
        <v>17</v>
      </c>
      <c r="E739" t="s">
        <v>23</v>
      </c>
      <c r="F739" s="2">
        <v>33734</v>
      </c>
      <c r="G739" s="2" t="str">
        <f>VLOOKUP(F739,Produtos!A:B,2,FALSE)</f>
        <v>BEATS RED MIX LT 269ML SH C/8</v>
      </c>
      <c r="H739" t="s">
        <v>475</v>
      </c>
      <c r="I7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9" s="9" t="str">
        <f>VLOOKUP(Table1[[#This Row],[Área avaliada]],Endereços!A:B,2,0)</f>
        <v>Área Azul</v>
      </c>
      <c r="K739" t="s">
        <v>510</v>
      </c>
    </row>
    <row r="740" spans="1:11" x14ac:dyDescent="0.3">
      <c r="A740">
        <v>739</v>
      </c>
      <c r="B740" s="1">
        <v>45898.4148263889</v>
      </c>
      <c r="C740" s="1">
        <v>45898.415474537003</v>
      </c>
      <c r="D740" t="s">
        <v>7</v>
      </c>
      <c r="E740" t="s">
        <v>15</v>
      </c>
      <c r="G740" t="e">
        <f>VLOOKUP(F740,Produtos!A:B,2,FALSE)</f>
        <v>#N/A</v>
      </c>
      <c r="H740" t="s">
        <v>477</v>
      </c>
      <c r="I7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0" s="9" t="str">
        <f>VLOOKUP(Table1[[#This Row],[Área avaliada]],Endereços!A:B,2,0)</f>
        <v>Picking Alto Giro</v>
      </c>
      <c r="K740" t="str">
        <f>VLOOKUP(Table1[[#This Row],[Nome do avaliador ]],M:N,2,0)</f>
        <v>A</v>
      </c>
    </row>
    <row r="741" spans="1:11" x14ac:dyDescent="0.3">
      <c r="A741">
        <v>740</v>
      </c>
      <c r="B741" s="1">
        <v>45898.415162037003</v>
      </c>
      <c r="C741" s="1">
        <v>45898.415775463</v>
      </c>
      <c r="D741" t="s">
        <v>17</v>
      </c>
      <c r="E741" t="s">
        <v>23</v>
      </c>
      <c r="F741" s="2">
        <v>9320</v>
      </c>
      <c r="G741" s="2" t="str">
        <f>VLOOKUP(F741,Produtos!A:B,2,FALSE)</f>
        <v>BRAHMA CHOPP LT 473ML SH C/12 NPAL</v>
      </c>
      <c r="H741" t="s">
        <v>475</v>
      </c>
      <c r="I7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1" s="9" t="str">
        <f>VLOOKUP(Table1[[#This Row],[Área avaliada]],Endereços!A:B,2,0)</f>
        <v>Área Azul</v>
      </c>
      <c r="K741" t="s">
        <v>510</v>
      </c>
    </row>
    <row r="742" spans="1:11" x14ac:dyDescent="0.3">
      <c r="A742">
        <v>741</v>
      </c>
      <c r="B742" s="1">
        <v>45898.415752314802</v>
      </c>
      <c r="C742" s="1">
        <v>45898.416585648098</v>
      </c>
      <c r="D742" t="s">
        <v>19</v>
      </c>
      <c r="E742" t="s">
        <v>23</v>
      </c>
      <c r="F742" s="2">
        <v>19225</v>
      </c>
      <c r="G742" s="2" t="str">
        <f>VLOOKUP(F742,Produtos!A:B,2,FALSE)</f>
        <v>RED BULL BR LATA 250ML CAIXA C/24</v>
      </c>
      <c r="H742" t="s">
        <v>473</v>
      </c>
      <c r="I7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2" s="9" t="str">
        <f>VLOOKUP(Table1[[#This Row],[Área avaliada]],Endereços!A:B,2,0)</f>
        <v>Área Azul</v>
      </c>
      <c r="K742" t="str">
        <f>VLOOKUP(Table1[[#This Row],[Nome do avaliador ]],M:N,2,0)</f>
        <v>A</v>
      </c>
    </row>
    <row r="743" spans="1:11" x14ac:dyDescent="0.3">
      <c r="A743">
        <v>742</v>
      </c>
      <c r="B743" s="1">
        <v>45899.540150462999</v>
      </c>
      <c r="C743" s="1">
        <v>45899.541030092601</v>
      </c>
      <c r="D743" t="s">
        <v>19</v>
      </c>
      <c r="E743" t="s">
        <v>23</v>
      </c>
      <c r="F743" s="2">
        <v>9068</v>
      </c>
      <c r="G743" s="2" t="str">
        <f>VLOOKUP(F743,Produtos!A:B,2,FALSE)</f>
        <v>SKOL LATA 350ML SH C/12 NPAL</v>
      </c>
      <c r="H743" t="s">
        <v>473</v>
      </c>
      <c r="I7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3" s="9" t="str">
        <f>VLOOKUP(Table1[[#This Row],[Área avaliada]],Endereços!A:B,2,0)</f>
        <v>Área Azul</v>
      </c>
      <c r="K743" t="str">
        <f>VLOOKUP(Table1[[#This Row],[Nome do avaliador ]],M:N,2,0)</f>
        <v>A</v>
      </c>
    </row>
    <row r="744" spans="1:11" x14ac:dyDescent="0.3">
      <c r="A744">
        <v>743</v>
      </c>
      <c r="B744" s="1">
        <v>45899.541631944398</v>
      </c>
      <c r="C744" s="1">
        <v>45899.542175925897</v>
      </c>
      <c r="D744" t="s">
        <v>19</v>
      </c>
      <c r="E744" t="s">
        <v>23</v>
      </c>
      <c r="F744" s="2">
        <v>21666</v>
      </c>
      <c r="G744" s="2" t="str">
        <f>VLOOKUP(F744,Produtos!A:B,2,FALSE)</f>
        <v>RED BULL TROP BR LT 250ML FOUR PACK NPAL</v>
      </c>
      <c r="H744" t="s">
        <v>473</v>
      </c>
      <c r="I7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4" s="9" t="str">
        <f>VLOOKUP(Table1[[#This Row],[Área avaliada]],Endereços!A:B,2,0)</f>
        <v>Área Azul</v>
      </c>
      <c r="K744" t="str">
        <f>VLOOKUP(Table1[[#This Row],[Nome do avaliador ]],M:N,2,0)</f>
        <v>A</v>
      </c>
    </row>
    <row r="745" spans="1:11" x14ac:dyDescent="0.3">
      <c r="A745">
        <v>744</v>
      </c>
      <c r="B745" s="1">
        <v>45899.543634259302</v>
      </c>
      <c r="C745" s="1">
        <v>45899.544050925899</v>
      </c>
      <c r="D745" t="s">
        <v>19</v>
      </c>
      <c r="E745" t="s">
        <v>23</v>
      </c>
      <c r="F745" s="2">
        <v>22177</v>
      </c>
      <c r="G745" s="2" t="str">
        <f>VLOOKUP(F745,Produtos!A:B,2,FALSE)</f>
        <v>BUDWEISER ZERO LT SLEEK 350ML C8 CX CART</v>
      </c>
      <c r="H745" t="s">
        <v>473</v>
      </c>
      <c r="I7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5" s="9" t="str">
        <f>VLOOKUP(Table1[[#This Row],[Área avaliada]],Endereços!A:B,2,0)</f>
        <v>Área Azul</v>
      </c>
      <c r="K745" t="str">
        <f>VLOOKUP(Table1[[#This Row],[Nome do avaliador ]],M:N,2,0)</f>
        <v>A</v>
      </c>
    </row>
    <row r="746" spans="1:11" x14ac:dyDescent="0.3">
      <c r="A746">
        <v>745</v>
      </c>
      <c r="B746" s="1">
        <v>45899.545775462997</v>
      </c>
      <c r="C746" s="1">
        <v>45899.546226851897</v>
      </c>
      <c r="D746" t="s">
        <v>19</v>
      </c>
      <c r="E746" t="s">
        <v>23</v>
      </c>
      <c r="F746" s="2">
        <v>12951</v>
      </c>
      <c r="G746" s="2" t="str">
        <f>VLOOKUP(F746,Produtos!A:B,2,FALSE)</f>
        <v>BRAHMA CHOPP ZERO LN 355 SIXP CX CART C4</v>
      </c>
      <c r="H746" t="s">
        <v>485</v>
      </c>
      <c r="I7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6" s="9" t="str">
        <f>VLOOKUP(Table1[[#This Row],[Área avaliada]],Endereços!A:B,2,0)</f>
        <v>Área Azul</v>
      </c>
      <c r="K746" t="str">
        <f>VLOOKUP(Table1[[#This Row],[Nome do avaliador ]],M:N,2,0)</f>
        <v>A</v>
      </c>
    </row>
    <row r="747" spans="1:11" x14ac:dyDescent="0.3">
      <c r="A747">
        <v>746</v>
      </c>
      <c r="B747" s="1">
        <v>45899.549004629604</v>
      </c>
      <c r="C747" s="1">
        <v>45899.549583333297</v>
      </c>
      <c r="D747" t="s">
        <v>19</v>
      </c>
      <c r="E747" t="s">
        <v>25</v>
      </c>
      <c r="F747" s="2">
        <v>19310</v>
      </c>
      <c r="G747" s="2" t="str">
        <f>VLOOKUP(F747,Produtos!A:B,2,FALSE)</f>
        <v>ORIGINAL LATA 350ML CX CARTAO C/12 NPAL</v>
      </c>
      <c r="H747" t="s">
        <v>473</v>
      </c>
      <c r="I7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7" s="9" t="str">
        <f>VLOOKUP(Table1[[#This Row],[Área avaliada]],Endereços!A:B,2,0)</f>
        <v>Área Azul</v>
      </c>
      <c r="K747" t="str">
        <f>VLOOKUP(Table1[[#This Row],[Nome do avaliador ]],M:N,2,0)</f>
        <v>A</v>
      </c>
    </row>
    <row r="748" spans="1:11" x14ac:dyDescent="0.3">
      <c r="A748">
        <v>747</v>
      </c>
      <c r="B748" s="1">
        <v>45899.551064814797</v>
      </c>
      <c r="C748" s="1">
        <v>45899.551678240699</v>
      </c>
      <c r="D748" t="s">
        <v>19</v>
      </c>
      <c r="E748" t="s">
        <v>20</v>
      </c>
      <c r="F748" s="2">
        <v>6903</v>
      </c>
      <c r="G748" s="2" t="str">
        <f>VLOOKUP(F748,Produtos!A:B,2,FALSE)</f>
        <v>AGUA M F DA ILHA S/G PVC 500ML CAIXA C/1</v>
      </c>
      <c r="H748" t="s">
        <v>474</v>
      </c>
      <c r="I7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8" s="9" t="str">
        <f>VLOOKUP(Table1[[#This Row],[Área avaliada]],Endereços!A:B,2,0)</f>
        <v>Área Azul</v>
      </c>
      <c r="K748" t="str">
        <f>VLOOKUP(Table1[[#This Row],[Nome do avaliador ]],M:N,2,0)</f>
        <v>A</v>
      </c>
    </row>
    <row r="749" spans="1:11" x14ac:dyDescent="0.3">
      <c r="A749">
        <v>748</v>
      </c>
      <c r="B749" s="1">
        <v>45899.5531134259</v>
      </c>
      <c r="C749" s="1">
        <v>45899.553680555597</v>
      </c>
      <c r="D749" t="s">
        <v>19</v>
      </c>
      <c r="E749" t="s">
        <v>20</v>
      </c>
      <c r="F749" s="2">
        <v>9089</v>
      </c>
      <c r="G749" s="2" t="str">
        <f>VLOOKUP(F749,Produtos!A:B,2,FALSE)</f>
        <v>SUKITA LATA 350ML SH C/12 NPAL</v>
      </c>
      <c r="H749" t="s">
        <v>473</v>
      </c>
      <c r="I7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9" s="9" t="str">
        <f>VLOOKUP(Table1[[#This Row],[Área avaliada]],Endereços!A:B,2,0)</f>
        <v>Área Azul</v>
      </c>
      <c r="K749" t="str">
        <f>VLOOKUP(Table1[[#This Row],[Nome do avaliador ]],M:N,2,0)</f>
        <v>A</v>
      </c>
    </row>
    <row r="750" spans="1:11" x14ac:dyDescent="0.3">
      <c r="A750">
        <v>749</v>
      </c>
      <c r="B750" s="1">
        <v>45899.562662037002</v>
      </c>
      <c r="C750" s="1">
        <v>45899.5632175926</v>
      </c>
      <c r="D750" t="s">
        <v>19</v>
      </c>
      <c r="E750" t="s">
        <v>25</v>
      </c>
      <c r="F750" s="2">
        <v>9096</v>
      </c>
      <c r="G750" s="2" t="str">
        <f>VLOOKUP(F750,Produtos!A:B,2,FALSE)</f>
        <v>PEPSI COLA LATA 350ML SH C/12 NPAL</v>
      </c>
      <c r="H750" t="s">
        <v>473</v>
      </c>
      <c r="I7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50" s="9" t="str">
        <f>VLOOKUP(Table1[[#This Row],[Área avaliada]],Endereços!A:B,2,0)</f>
        <v>Área Azul</v>
      </c>
      <c r="K750" t="str">
        <f>VLOOKUP(Table1[[#This Row],[Nome do avaliador ]],M:N,2,0)</f>
        <v>A</v>
      </c>
    </row>
    <row r="751" spans="1:11" x14ac:dyDescent="0.3">
      <c r="A751">
        <v>750</v>
      </c>
      <c r="B751" s="1">
        <v>45899.739791666703</v>
      </c>
      <c r="C751" s="1">
        <v>45899.7405671296</v>
      </c>
      <c r="D751" t="s">
        <v>31</v>
      </c>
      <c r="E751" t="s">
        <v>15</v>
      </c>
      <c r="G751" t="e">
        <f>VLOOKUP(F751,Produtos!A:B,2,FALSE)</f>
        <v>#N/A</v>
      </c>
      <c r="H751" t="s">
        <v>473</v>
      </c>
      <c r="I7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51" s="9" t="str">
        <f>VLOOKUP(Table1[[#This Row],[Área avaliada]],Endereços!A:B,2,0)</f>
        <v>Picking Alto Giro</v>
      </c>
      <c r="K751" t="str">
        <f>VLOOKUP(Table1[[#This Row],[Nome do avaliador ]],M:N,2,0)</f>
        <v>B</v>
      </c>
    </row>
    <row r="752" spans="1:11" x14ac:dyDescent="0.3">
      <c r="A752">
        <v>751</v>
      </c>
      <c r="B752" s="1">
        <v>45901.332199074102</v>
      </c>
      <c r="C752" s="1">
        <v>45901.3328356481</v>
      </c>
      <c r="D752" t="s">
        <v>19</v>
      </c>
      <c r="E752" t="s">
        <v>23</v>
      </c>
      <c r="F752" s="2">
        <v>1898</v>
      </c>
      <c r="G752" s="2" t="str">
        <f>VLOOKUP(F752,Produtos!A:B,2,FALSE)</f>
        <v>BRAHMA CHOPP LT 269ML SH C/15 NPAL</v>
      </c>
      <c r="H752" t="s">
        <v>473</v>
      </c>
      <c r="I75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2" s="9" t="str">
        <f>VLOOKUP(Table1[[#This Row],[Área avaliada]],Endereços!A:B,2,0)</f>
        <v>Área Azul</v>
      </c>
      <c r="K752" t="str">
        <f>VLOOKUP(Table1[[#This Row],[Nome do avaliador ]],M:N,2,0)</f>
        <v>A</v>
      </c>
    </row>
    <row r="753" spans="1:11" x14ac:dyDescent="0.3">
      <c r="A753">
        <v>752</v>
      </c>
      <c r="B753" s="1">
        <v>45901.3355787037</v>
      </c>
      <c r="C753" s="1">
        <v>45901.335821759298</v>
      </c>
      <c r="D753" t="s">
        <v>19</v>
      </c>
      <c r="E753" t="s">
        <v>23</v>
      </c>
      <c r="F753" s="2">
        <v>22177</v>
      </c>
      <c r="G753" s="2" t="str">
        <f>VLOOKUP(F753,Produtos!A:B,2,FALSE)</f>
        <v>BUDWEISER ZERO LT SLEEK 350ML C8 CX CART</v>
      </c>
      <c r="H753" t="s">
        <v>473</v>
      </c>
      <c r="I75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3" s="9" t="str">
        <f>VLOOKUP(Table1[[#This Row],[Área avaliada]],Endereços!A:B,2,0)</f>
        <v>Área Azul</v>
      </c>
      <c r="K753" t="str">
        <f>VLOOKUP(Table1[[#This Row],[Nome do avaliador ]],M:N,2,0)</f>
        <v>A</v>
      </c>
    </row>
    <row r="754" spans="1:11" x14ac:dyDescent="0.3">
      <c r="A754">
        <v>753</v>
      </c>
      <c r="B754" s="1">
        <v>45901.336932870399</v>
      </c>
      <c r="C754" s="1">
        <v>45901.337685185201</v>
      </c>
      <c r="D754" t="s">
        <v>19</v>
      </c>
      <c r="E754" t="s">
        <v>23</v>
      </c>
      <c r="F754" s="2">
        <v>20498</v>
      </c>
      <c r="G754" s="2" t="str">
        <f>VLOOKUP(F754,Produtos!A:B,2,FALSE)</f>
        <v>BRAHMA DUPLO MALTE LT SLEEK 350ML SH C12</v>
      </c>
      <c r="H754" t="s">
        <v>473</v>
      </c>
      <c r="I75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4" s="9" t="str">
        <f>VLOOKUP(Table1[[#This Row],[Área avaliada]],Endereços!A:B,2,0)</f>
        <v>Área Azul</v>
      </c>
      <c r="K754" t="str">
        <f>VLOOKUP(Table1[[#This Row],[Nome do avaliador ]],M:N,2,0)</f>
        <v>A</v>
      </c>
    </row>
    <row r="755" spans="1:11" x14ac:dyDescent="0.3">
      <c r="A755">
        <v>754</v>
      </c>
      <c r="B755" s="1">
        <v>45901.338969907403</v>
      </c>
      <c r="C755" s="1">
        <v>45901.339594907397</v>
      </c>
      <c r="D755" t="s">
        <v>19</v>
      </c>
      <c r="E755" t="s">
        <v>25</v>
      </c>
      <c r="F755" s="2">
        <v>2349</v>
      </c>
      <c r="G755" s="2" t="str">
        <f>VLOOKUP(F755,Produtos!A:B,2,FALSE)</f>
        <v>GUARANA CHP ANTARCTICA PET 2L CAIXA C/6</v>
      </c>
      <c r="H755" t="s">
        <v>474</v>
      </c>
      <c r="I75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5" s="9" t="str">
        <f>VLOOKUP(Table1[[#This Row],[Área avaliada]],Endereços!A:B,2,0)</f>
        <v>Área Azul</v>
      </c>
      <c r="K755" t="str">
        <f>VLOOKUP(Table1[[#This Row],[Nome do avaliador ]],M:N,2,0)</f>
        <v>A</v>
      </c>
    </row>
    <row r="756" spans="1:11" x14ac:dyDescent="0.3">
      <c r="A756">
        <v>755</v>
      </c>
      <c r="B756" s="1">
        <v>45901.339363425897</v>
      </c>
      <c r="C756" s="1">
        <v>45901.340173611097</v>
      </c>
      <c r="D756" t="s">
        <v>17</v>
      </c>
      <c r="E756" t="s">
        <v>23</v>
      </c>
      <c r="F756" s="2">
        <v>20498</v>
      </c>
      <c r="G756" s="2" t="str">
        <f>VLOOKUP(F756,Produtos!A:B,2,FALSE)</f>
        <v>BRAHMA DUPLO MALTE LT SLEEK 350ML SH C12</v>
      </c>
      <c r="H756" t="s">
        <v>475</v>
      </c>
      <c r="I75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6" s="9" t="str">
        <f>VLOOKUP(Table1[[#This Row],[Área avaliada]],Endereços!A:B,2,0)</f>
        <v>Área Azul</v>
      </c>
      <c r="K756" t="s">
        <v>510</v>
      </c>
    </row>
    <row r="757" spans="1:11" x14ac:dyDescent="0.3">
      <c r="A757">
        <v>756</v>
      </c>
      <c r="B757" s="1">
        <v>45901.3410532407</v>
      </c>
      <c r="C757" s="1">
        <v>45901.341608796298</v>
      </c>
      <c r="D757" t="s">
        <v>19</v>
      </c>
      <c r="E757" t="s">
        <v>25</v>
      </c>
      <c r="F757" s="2">
        <v>9096</v>
      </c>
      <c r="G757" s="2" t="str">
        <f>VLOOKUP(F757,Produtos!A:B,2,FALSE)</f>
        <v>PEPSI COLA LATA 350ML SH C/12 NPAL</v>
      </c>
      <c r="H757" t="s">
        <v>473</v>
      </c>
      <c r="I75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7" s="9" t="str">
        <f>VLOOKUP(Table1[[#This Row],[Área avaliada]],Endereços!A:B,2,0)</f>
        <v>Área Azul</v>
      </c>
      <c r="K757" t="str">
        <f>VLOOKUP(Table1[[#This Row],[Nome do avaliador ]],M:N,2,0)</f>
        <v>A</v>
      </c>
    </row>
    <row r="758" spans="1:11" x14ac:dyDescent="0.3">
      <c r="A758">
        <v>757</v>
      </c>
      <c r="B758" s="1">
        <v>45901.343634259298</v>
      </c>
      <c r="C758" s="1">
        <v>45901.344120370399</v>
      </c>
      <c r="D758" t="s">
        <v>19</v>
      </c>
      <c r="E758" t="s">
        <v>20</v>
      </c>
      <c r="F758" s="2">
        <v>14135</v>
      </c>
      <c r="G758" s="2" t="str">
        <f>VLOOKUP(F758,Produtos!A:B,2,FALSE)</f>
        <v>BUDWEISER LT 473ML SIX-PACK SH C/2 NPAL</v>
      </c>
      <c r="H758" t="s">
        <v>473</v>
      </c>
      <c r="I75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8" s="9" t="str">
        <f>VLOOKUP(Table1[[#This Row],[Área avaliada]],Endereços!A:B,2,0)</f>
        <v>Área Azul</v>
      </c>
      <c r="K758" t="str">
        <f>VLOOKUP(Table1[[#This Row],[Nome do avaliador ]],M:N,2,0)</f>
        <v>A</v>
      </c>
    </row>
    <row r="759" spans="1:11" x14ac:dyDescent="0.3">
      <c r="A759">
        <v>758</v>
      </c>
      <c r="B759" s="1">
        <v>45901.4299537037</v>
      </c>
      <c r="C759" s="1">
        <v>45901.430925925903</v>
      </c>
      <c r="D759" t="s">
        <v>19</v>
      </c>
      <c r="E759" t="s">
        <v>23</v>
      </c>
      <c r="F759" s="2">
        <v>2132</v>
      </c>
      <c r="G759" s="2" t="str">
        <f>VLOOKUP(F759,Produtos!A:B,2,FALSE)</f>
        <v>GUARANA CHP ANTARCTICA PET1L CX C/6 NRIO</v>
      </c>
      <c r="H759" t="s">
        <v>473</v>
      </c>
      <c r="I75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9" s="9" t="str">
        <f>VLOOKUP(Table1[[#This Row],[Área avaliada]],Endereços!A:B,2,0)</f>
        <v>Área Azul</v>
      </c>
      <c r="K759" t="str">
        <f>VLOOKUP(Table1[[#This Row],[Nome do avaliador ]],M:N,2,0)</f>
        <v>A</v>
      </c>
    </row>
    <row r="760" spans="1:11" x14ac:dyDescent="0.3">
      <c r="A760">
        <v>759</v>
      </c>
      <c r="B760" s="1">
        <v>45901.495902777802</v>
      </c>
      <c r="C760" s="1">
        <v>45901.496539351901</v>
      </c>
      <c r="D760" t="s">
        <v>17</v>
      </c>
      <c r="E760" t="s">
        <v>20</v>
      </c>
      <c r="F760" s="2">
        <v>21020</v>
      </c>
      <c r="G760" s="2" t="str">
        <f>VLOOKUP(F760,Produtos!A:B,2,FALSE)</f>
        <v>BUDWEISER LT SLEEK 350ML CX CART C12</v>
      </c>
      <c r="H760" t="s">
        <v>475</v>
      </c>
      <c r="I76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0" s="9" t="str">
        <f>VLOOKUP(Table1[[#This Row],[Área avaliada]],Endereços!A:B,2,0)</f>
        <v>Área Azul</v>
      </c>
      <c r="K760" t="s">
        <v>510</v>
      </c>
    </row>
    <row r="761" spans="1:11" x14ac:dyDescent="0.3">
      <c r="A761">
        <v>760</v>
      </c>
      <c r="B761" s="1">
        <v>45901.895902777796</v>
      </c>
      <c r="C761" s="1">
        <v>45901.896284722199</v>
      </c>
      <c r="D761" t="s">
        <v>21</v>
      </c>
      <c r="E761" t="s">
        <v>15</v>
      </c>
      <c r="G761" t="e">
        <f>VLOOKUP(F761,Produtos!A:B,2,FALSE)</f>
        <v>#N/A</v>
      </c>
      <c r="H761" t="s">
        <v>488</v>
      </c>
      <c r="I76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1" s="9" t="str">
        <f>VLOOKUP(Table1[[#This Row],[Área avaliada]],Endereços!A:B,2,0)</f>
        <v>Picking Alto Giro</v>
      </c>
      <c r="K761" t="str">
        <f>VLOOKUP(Table1[[#This Row],[Nome do avaliador ]],M:N,2,0)</f>
        <v>B</v>
      </c>
    </row>
    <row r="762" spans="1:11" x14ac:dyDescent="0.3">
      <c r="A762">
        <v>761</v>
      </c>
      <c r="B762" s="1">
        <v>45902.3256481481</v>
      </c>
      <c r="C762" s="1">
        <v>45902.326388888898</v>
      </c>
      <c r="D762" t="s">
        <v>19</v>
      </c>
      <c r="E762" t="s">
        <v>20</v>
      </c>
      <c r="F762" s="2">
        <v>17808</v>
      </c>
      <c r="G762" s="2" t="str">
        <f>VLOOKUP(F762,Produtos!A:B,2,FALSE)</f>
        <v>BUDWEISER OW 330ML CX C 24</v>
      </c>
      <c r="H762" t="s">
        <v>485</v>
      </c>
      <c r="I76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2" s="9" t="str">
        <f>VLOOKUP(Table1[[#This Row],[Área avaliada]],Endereços!A:B,2,0)</f>
        <v>Área Azul</v>
      </c>
      <c r="K762" t="str">
        <f>VLOOKUP(Table1[[#This Row],[Nome do avaliador ]],M:N,2,0)</f>
        <v>A</v>
      </c>
    </row>
    <row r="763" spans="1:11" x14ac:dyDescent="0.3">
      <c r="A763">
        <v>762</v>
      </c>
      <c r="B763" s="1">
        <v>45902.328113425901</v>
      </c>
      <c r="C763" s="1">
        <v>45902.328287037002</v>
      </c>
      <c r="D763" t="s">
        <v>19</v>
      </c>
      <c r="E763" t="s">
        <v>20</v>
      </c>
      <c r="F763" s="2">
        <v>9085</v>
      </c>
      <c r="G763" s="2" t="str">
        <f>VLOOKUP(F763,Produtos!A:B,2,FALSE)</f>
        <v>GUARANA CHP ANTARCT DIET LT350ML SHC/12</v>
      </c>
      <c r="H763" t="s">
        <v>473</v>
      </c>
      <c r="I76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3" s="9" t="str">
        <f>VLOOKUP(Table1[[#This Row],[Área avaliada]],Endereços!A:B,2,0)</f>
        <v>Área Azul</v>
      </c>
      <c r="K763" t="str">
        <f>VLOOKUP(Table1[[#This Row],[Nome do avaliador ]],M:N,2,0)</f>
        <v>A</v>
      </c>
    </row>
    <row r="764" spans="1:11" x14ac:dyDescent="0.3">
      <c r="A764">
        <v>763</v>
      </c>
      <c r="B764" s="1">
        <v>45902.339479166701</v>
      </c>
      <c r="C764" s="1">
        <v>45902.341701388897</v>
      </c>
      <c r="D764" t="s">
        <v>17</v>
      </c>
      <c r="E764" t="s">
        <v>23</v>
      </c>
      <c r="F764" s="2">
        <v>9081</v>
      </c>
      <c r="G764" s="2" t="str">
        <f>VLOOKUP(F764,Produtos!A:B,2,FALSE)</f>
        <v>MALZBIER BRAHMA LATA 350ML SH C/12 NPAL</v>
      </c>
      <c r="H764" t="s">
        <v>475</v>
      </c>
      <c r="I76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4" s="9" t="str">
        <f>VLOOKUP(Table1[[#This Row],[Área avaliada]],Endereços!A:B,2,0)</f>
        <v>Área Azul</v>
      </c>
      <c r="K764" t="s">
        <v>510</v>
      </c>
    </row>
    <row r="765" spans="1:11" x14ac:dyDescent="0.3">
      <c r="A765">
        <v>764</v>
      </c>
      <c r="B765" s="1">
        <v>45902.341712963003</v>
      </c>
      <c r="C765" s="1">
        <v>45902.3422222222</v>
      </c>
      <c r="D765" t="s">
        <v>17</v>
      </c>
      <c r="E765" t="s">
        <v>20</v>
      </c>
      <c r="F765" s="2">
        <v>17797</v>
      </c>
      <c r="G765" s="2" t="str">
        <f>VLOOKUP(F765,Produtos!A:B,2,FALSE)</f>
        <v>BRAHMA CHOPP LATA 350ML SH 18 MULTIPACK</v>
      </c>
      <c r="H765" t="s">
        <v>475</v>
      </c>
      <c r="I76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5" s="9" t="str">
        <f>VLOOKUP(Table1[[#This Row],[Área avaliada]],Endereços!A:B,2,0)</f>
        <v>Área Azul</v>
      </c>
      <c r="K765" t="s">
        <v>510</v>
      </c>
    </row>
    <row r="766" spans="1:11" x14ac:dyDescent="0.3">
      <c r="A766">
        <v>765</v>
      </c>
      <c r="B766" s="1">
        <v>45902.343368055597</v>
      </c>
      <c r="C766" s="1">
        <v>45902.343900462998</v>
      </c>
      <c r="D766" t="s">
        <v>17</v>
      </c>
      <c r="E766" t="s">
        <v>20</v>
      </c>
      <c r="F766" s="2">
        <v>17797</v>
      </c>
      <c r="G766" s="2" t="str">
        <f>VLOOKUP(F766,Produtos!A:B,2,FALSE)</f>
        <v>BRAHMA CHOPP LATA 350ML SH 18 MULTIPACK</v>
      </c>
      <c r="H766" t="s">
        <v>475</v>
      </c>
      <c r="I76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6" s="9" t="str">
        <f>VLOOKUP(Table1[[#This Row],[Área avaliada]],Endereços!A:B,2,0)</f>
        <v>Área Azul</v>
      </c>
      <c r="K766" t="s">
        <v>510</v>
      </c>
    </row>
    <row r="767" spans="1:11" x14ac:dyDescent="0.3">
      <c r="A767">
        <v>766</v>
      </c>
      <c r="B767" s="1">
        <v>45903.337766203702</v>
      </c>
      <c r="C767" s="1">
        <v>45903.338194444397</v>
      </c>
      <c r="D767" t="s">
        <v>19</v>
      </c>
      <c r="E767" t="s">
        <v>23</v>
      </c>
      <c r="F767" s="2">
        <v>9068</v>
      </c>
      <c r="G767" s="2" t="str">
        <f>VLOOKUP(F767,Produtos!A:B,2,FALSE)</f>
        <v>SKOL LATA 350ML SH C/12 NPAL</v>
      </c>
      <c r="H767" t="s">
        <v>473</v>
      </c>
      <c r="I76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7" s="9" t="str">
        <f>VLOOKUP(Table1[[#This Row],[Área avaliada]],Endereços!A:B,2,0)</f>
        <v>Área Azul</v>
      </c>
      <c r="K767" t="str">
        <f>VLOOKUP(Table1[[#This Row],[Nome do avaliador ]],M:N,2,0)</f>
        <v>A</v>
      </c>
    </row>
    <row r="768" spans="1:11" x14ac:dyDescent="0.3">
      <c r="A768">
        <v>767</v>
      </c>
      <c r="B768" s="1">
        <v>45903.338750000003</v>
      </c>
      <c r="C768" s="1">
        <v>45903.339236111096</v>
      </c>
      <c r="D768" t="s">
        <v>19</v>
      </c>
      <c r="E768" t="s">
        <v>23</v>
      </c>
      <c r="F768" s="2">
        <v>9069</v>
      </c>
      <c r="G768" s="2" t="str">
        <f>VLOOKUP(F768,Produtos!A:B,2,FALSE)</f>
        <v>BRAHMA CHOPP LATA 350ML SH C/12 NPAL</v>
      </c>
      <c r="H768" t="s">
        <v>473</v>
      </c>
      <c r="I76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8" s="9" t="str">
        <f>VLOOKUP(Table1[[#This Row],[Área avaliada]],Endereços!A:B,2,0)</f>
        <v>Área Azul</v>
      </c>
      <c r="K768" t="str">
        <f>VLOOKUP(Table1[[#This Row],[Nome do avaliador ]],M:N,2,0)</f>
        <v>A</v>
      </c>
    </row>
    <row r="769" spans="1:11" x14ac:dyDescent="0.3">
      <c r="A769">
        <v>768</v>
      </c>
      <c r="B769" s="1">
        <v>45903.339270833298</v>
      </c>
      <c r="C769" s="1">
        <v>45903.339803240699</v>
      </c>
      <c r="D769" t="s">
        <v>17</v>
      </c>
      <c r="E769" t="s">
        <v>20</v>
      </c>
      <c r="F769" s="2">
        <v>14135</v>
      </c>
      <c r="G769" s="2" t="str">
        <f>VLOOKUP(F769,Produtos!A:B,2,FALSE)</f>
        <v>BUDWEISER LT 473ML SIX-PACK SH C/2 NPAL</v>
      </c>
      <c r="H769" t="s">
        <v>475</v>
      </c>
      <c r="I76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9" s="9" t="str">
        <f>VLOOKUP(Table1[[#This Row],[Área avaliada]],Endereços!A:B,2,0)</f>
        <v>Área Azul</v>
      </c>
      <c r="K769" t="s">
        <v>510</v>
      </c>
    </row>
    <row r="770" spans="1:11" x14ac:dyDescent="0.3">
      <c r="A770">
        <v>769</v>
      </c>
      <c r="B770" s="1">
        <v>45903.444652777798</v>
      </c>
      <c r="C770" s="1">
        <v>45903.445324074099</v>
      </c>
      <c r="D770" t="s">
        <v>19</v>
      </c>
      <c r="E770" t="s">
        <v>23</v>
      </c>
      <c r="F770" s="2">
        <v>9071</v>
      </c>
      <c r="G770" s="2" t="str">
        <f>VLOOKUP(F770,Produtos!A:B,2,FALSE)</f>
        <v>CARACU LATA 350ML SH C/12 NPAL</v>
      </c>
      <c r="H770" t="s">
        <v>473</v>
      </c>
      <c r="I77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0" s="9" t="str">
        <f>VLOOKUP(Table1[[#This Row],[Área avaliada]],Endereços!A:B,2,0)</f>
        <v>Área Azul</v>
      </c>
      <c r="K770" t="str">
        <f>VLOOKUP(Table1[[#This Row],[Nome do avaliador ]],M:N,2,0)</f>
        <v>A</v>
      </c>
    </row>
    <row r="771" spans="1:11" x14ac:dyDescent="0.3">
      <c r="A771">
        <v>770</v>
      </c>
      <c r="B771" s="1">
        <v>45903.446782407402</v>
      </c>
      <c r="C771" s="1">
        <v>45903.447523148097</v>
      </c>
      <c r="D771" t="s">
        <v>19</v>
      </c>
      <c r="E771" t="s">
        <v>23</v>
      </c>
      <c r="F771" s="2">
        <v>8336</v>
      </c>
      <c r="G771" s="2" t="str">
        <f>VLOOKUP(F771,Produtos!A:B,2,FALSE)</f>
        <v>ORIGINAL ONE WAY 600ML CX 12</v>
      </c>
      <c r="H771" t="s">
        <v>478</v>
      </c>
      <c r="I77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1" s="9" t="str">
        <f>VLOOKUP(Table1[[#This Row],[Área avaliada]],Endereços!A:B,2,0)</f>
        <v>Área Azul</v>
      </c>
      <c r="K771" t="str">
        <f>VLOOKUP(Table1[[#This Row],[Nome do avaliador ]],M:N,2,0)</f>
        <v>A</v>
      </c>
    </row>
    <row r="772" spans="1:11" x14ac:dyDescent="0.3">
      <c r="A772">
        <v>771</v>
      </c>
      <c r="B772" s="1">
        <v>45903.449907407397</v>
      </c>
      <c r="C772" s="1">
        <v>45903.450509259303</v>
      </c>
      <c r="D772" t="s">
        <v>19</v>
      </c>
      <c r="E772" t="s">
        <v>33</v>
      </c>
      <c r="F772" s="2">
        <v>9067</v>
      </c>
      <c r="G772" s="2" t="str">
        <f>VLOOKUP(F772,Produtos!A:B,2,FALSE)</f>
        <v>ANTARCTICA PILSEN LATA 350ML SH C/12 NPA</v>
      </c>
      <c r="H772" t="s">
        <v>473</v>
      </c>
      <c r="I77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2" s="9" t="str">
        <f>VLOOKUP(Table1[[#This Row],[Área avaliada]],Endereços!A:B,2,0)</f>
        <v>Área Verde</v>
      </c>
      <c r="K772" t="str">
        <f>VLOOKUP(Table1[[#This Row],[Nome do avaliador ]],M:N,2,0)</f>
        <v>A</v>
      </c>
    </row>
    <row r="773" spans="1:11" x14ac:dyDescent="0.3">
      <c r="A773">
        <v>772</v>
      </c>
      <c r="B773" s="1">
        <v>45903.801458333299</v>
      </c>
      <c r="C773" s="1">
        <v>45903.802199074104</v>
      </c>
      <c r="D773" t="s">
        <v>17</v>
      </c>
      <c r="E773" t="s">
        <v>25</v>
      </c>
      <c r="F773" s="2">
        <v>19310</v>
      </c>
      <c r="G773" s="2" t="str">
        <f>VLOOKUP(F773,Produtos!A:B,2,FALSE)</f>
        <v>ORIGINAL LATA 350ML CX CARTAO C/12 NPAL</v>
      </c>
      <c r="H773" t="s">
        <v>475</v>
      </c>
      <c r="I77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3" s="9" t="str">
        <f>VLOOKUP(Table1[[#This Row],[Área avaliada]],Endereços!A:B,2,0)</f>
        <v>Área Azul</v>
      </c>
      <c r="K773" t="s">
        <v>510</v>
      </c>
    </row>
    <row r="774" spans="1:11" x14ac:dyDescent="0.3">
      <c r="A774">
        <v>773</v>
      </c>
      <c r="B774" s="1">
        <v>45903.802222222199</v>
      </c>
      <c r="C774" s="1">
        <v>45903.8028009259</v>
      </c>
      <c r="D774" t="s">
        <v>17</v>
      </c>
      <c r="E774" t="s">
        <v>23</v>
      </c>
      <c r="F774" s="2">
        <v>19310</v>
      </c>
      <c r="G774" s="2" t="str">
        <f>VLOOKUP(F774,Produtos!A:B,2,FALSE)</f>
        <v>ORIGINAL LATA 350ML CX CARTAO C/12 NPAL</v>
      </c>
      <c r="H774" t="s">
        <v>475</v>
      </c>
      <c r="I77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4" s="9" t="str">
        <f>VLOOKUP(Table1[[#This Row],[Área avaliada]],Endereços!A:B,2,0)</f>
        <v>Área Azul</v>
      </c>
      <c r="K774" t="s">
        <v>510</v>
      </c>
    </row>
    <row r="775" spans="1:11" x14ac:dyDescent="0.3">
      <c r="A775">
        <v>774</v>
      </c>
      <c r="B775" s="1">
        <v>45903.802812499998</v>
      </c>
      <c r="C775" s="1">
        <v>45903.803912037001</v>
      </c>
      <c r="D775" t="s">
        <v>17</v>
      </c>
      <c r="E775" t="s">
        <v>20</v>
      </c>
      <c r="F775" s="2">
        <v>17678</v>
      </c>
      <c r="G775" s="2" t="str">
        <f>VLOOKUP(F775,Produtos!A:B,2,FALSE)</f>
        <v>SKOL LATA 350ML SH C/18 NPAL MULTPACK</v>
      </c>
      <c r="H775" t="s">
        <v>475</v>
      </c>
      <c r="I77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5" s="9" t="str">
        <f>VLOOKUP(Table1[[#This Row],[Área avaliada]],Endereços!A:B,2,0)</f>
        <v>Área Azul</v>
      </c>
      <c r="K775" t="s">
        <v>510</v>
      </c>
    </row>
    <row r="776" spans="1:11" x14ac:dyDescent="0.3">
      <c r="A776">
        <v>775</v>
      </c>
      <c r="B776" s="1">
        <v>45904.364641203698</v>
      </c>
      <c r="C776" s="1">
        <v>45904.365243055603</v>
      </c>
      <c r="D776" t="s">
        <v>19</v>
      </c>
      <c r="E776" t="s">
        <v>25</v>
      </c>
      <c r="F776" s="2">
        <v>17797</v>
      </c>
      <c r="G776" s="2" t="str">
        <f>VLOOKUP(F776,Produtos!A:B,2,FALSE)</f>
        <v>BRAHMA CHOPP LATA 350ML SH 18 MULTIPACK</v>
      </c>
      <c r="H776" t="s">
        <v>473</v>
      </c>
      <c r="I77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6" s="9" t="str">
        <f>VLOOKUP(Table1[[#This Row],[Área avaliada]],Endereços!A:B,2,0)</f>
        <v>Área Azul</v>
      </c>
      <c r="K776" t="str">
        <f>VLOOKUP(Table1[[#This Row],[Nome do avaliador ]],M:N,2,0)</f>
        <v>A</v>
      </c>
    </row>
    <row r="777" spans="1:11" x14ac:dyDescent="0.3">
      <c r="A777">
        <v>776</v>
      </c>
      <c r="B777" s="1">
        <v>45904.367106481499</v>
      </c>
      <c r="C777" s="1">
        <v>45904.367719907401</v>
      </c>
      <c r="D777" t="s">
        <v>19</v>
      </c>
      <c r="E777" t="s">
        <v>23</v>
      </c>
      <c r="F777" s="2">
        <v>19321</v>
      </c>
      <c r="G777" s="2" t="str">
        <f>VLOOKUP(F777,Produtos!A:B,2,FALSE)</f>
        <v>GUARANA ANTARCTICA ZERO PET 200ML SH C12</v>
      </c>
      <c r="H777" t="s">
        <v>483</v>
      </c>
      <c r="I77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7" s="9" t="str">
        <f>VLOOKUP(Table1[[#This Row],[Área avaliada]],Endereços!A:B,2,0)</f>
        <v>Área Azul</v>
      </c>
      <c r="K777" t="str">
        <f>VLOOKUP(Table1[[#This Row],[Nome do avaliador ]],M:N,2,0)</f>
        <v>A</v>
      </c>
    </row>
    <row r="778" spans="1:11" x14ac:dyDescent="0.3">
      <c r="A778">
        <v>777</v>
      </c>
      <c r="B778" s="1">
        <v>45904.367754629602</v>
      </c>
      <c r="C778" s="1">
        <v>45904.368194444403</v>
      </c>
      <c r="D778" t="s">
        <v>19</v>
      </c>
      <c r="E778" t="s">
        <v>23</v>
      </c>
      <c r="F778" s="2">
        <v>9069</v>
      </c>
      <c r="G778" s="2" t="str">
        <f>VLOOKUP(F778,Produtos!A:B,2,FALSE)</f>
        <v>BRAHMA CHOPP LATA 350ML SH C/12 NPAL</v>
      </c>
      <c r="H778" t="s">
        <v>473</v>
      </c>
      <c r="I77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8" s="9" t="str">
        <f>VLOOKUP(Table1[[#This Row],[Área avaliada]],Endereços!A:B,2,0)</f>
        <v>Área Azul</v>
      </c>
      <c r="K778" t="str">
        <f>VLOOKUP(Table1[[#This Row],[Nome do avaliador ]],M:N,2,0)</f>
        <v>A</v>
      </c>
    </row>
    <row r="779" spans="1:11" x14ac:dyDescent="0.3">
      <c r="A779">
        <v>778</v>
      </c>
      <c r="B779" s="1">
        <v>45905.328969907401</v>
      </c>
      <c r="C779" s="1">
        <v>45905.329456018502</v>
      </c>
      <c r="D779" t="s">
        <v>19</v>
      </c>
      <c r="E779" t="s">
        <v>25</v>
      </c>
      <c r="F779" s="2">
        <v>9320</v>
      </c>
      <c r="G779" s="2" t="str">
        <f>VLOOKUP(F779,Produtos!A:B,2,FALSE)</f>
        <v>BRAHMA CHOPP LT 473ML SH C/12 NPAL</v>
      </c>
      <c r="H779" t="s">
        <v>473</v>
      </c>
      <c r="I77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9" s="9" t="str">
        <f>VLOOKUP(Table1[[#This Row],[Área avaliada]],Endereços!A:B,2,0)</f>
        <v>Área Azul</v>
      </c>
      <c r="K779" t="str">
        <f>VLOOKUP(Table1[[#This Row],[Nome do avaliador ]],M:N,2,0)</f>
        <v>A</v>
      </c>
    </row>
    <row r="780" spans="1:11" x14ac:dyDescent="0.3">
      <c r="A780">
        <v>779</v>
      </c>
      <c r="B780" s="1">
        <v>45905.330312500002</v>
      </c>
      <c r="C780" s="1">
        <v>45905.330856481502</v>
      </c>
      <c r="D780" t="s">
        <v>19</v>
      </c>
      <c r="E780" t="s">
        <v>23</v>
      </c>
      <c r="F780" s="2">
        <v>9089</v>
      </c>
      <c r="G780" s="2" t="str">
        <f>VLOOKUP(F780,Produtos!A:B,2,FALSE)</f>
        <v>SUKITA LATA 350ML SH C/12 NPAL</v>
      </c>
      <c r="H780" t="s">
        <v>473</v>
      </c>
      <c r="I78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0" s="9" t="str">
        <f>VLOOKUP(Table1[[#This Row],[Área avaliada]],Endereços!A:B,2,0)</f>
        <v>Área Azul</v>
      </c>
      <c r="K780" t="str">
        <f>VLOOKUP(Table1[[#This Row],[Nome do avaliador ]],M:N,2,0)</f>
        <v>A</v>
      </c>
    </row>
    <row r="781" spans="1:11" x14ac:dyDescent="0.3">
      <c r="A781">
        <v>780</v>
      </c>
      <c r="B781" s="1">
        <v>45905.343379629601</v>
      </c>
      <c r="C781" s="1">
        <v>45905.344375000001</v>
      </c>
      <c r="D781" t="s">
        <v>17</v>
      </c>
      <c r="E781" t="s">
        <v>23</v>
      </c>
      <c r="F781" s="2">
        <v>9069</v>
      </c>
      <c r="G781" s="2" t="str">
        <f>VLOOKUP(F781,Produtos!A:B,2,FALSE)</f>
        <v>BRAHMA CHOPP LATA 350ML SH C/12 NPAL</v>
      </c>
      <c r="H781" t="s">
        <v>475</v>
      </c>
      <c r="I78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1" s="9" t="str">
        <f>VLOOKUP(Table1[[#This Row],[Área avaliada]],Endereços!A:B,2,0)</f>
        <v>Área Azul</v>
      </c>
      <c r="K781" t="s">
        <v>510</v>
      </c>
    </row>
    <row r="782" spans="1:11" x14ac:dyDescent="0.3">
      <c r="A782">
        <v>781</v>
      </c>
      <c r="B782" s="1">
        <v>45905.344456018502</v>
      </c>
      <c r="C782" s="1">
        <v>45905.345925925903</v>
      </c>
      <c r="D782" t="s">
        <v>17</v>
      </c>
      <c r="E782" t="s">
        <v>25</v>
      </c>
      <c r="F782" s="2">
        <v>9085</v>
      </c>
      <c r="G782" s="2" t="str">
        <f>VLOOKUP(F782,Produtos!A:B,2,FALSE)</f>
        <v>GUARANA CHP ANTARCT DIET LT350ML SHC/12</v>
      </c>
      <c r="H782" t="s">
        <v>475</v>
      </c>
      <c r="I78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2" s="9" t="str">
        <f>VLOOKUP(Table1[[#This Row],[Área avaliada]],Endereços!A:B,2,0)</f>
        <v>Área Azul</v>
      </c>
      <c r="K782" t="s">
        <v>510</v>
      </c>
    </row>
    <row r="783" spans="1:11" x14ac:dyDescent="0.3">
      <c r="A783">
        <v>782</v>
      </c>
      <c r="B783" s="1">
        <v>45905.345960648097</v>
      </c>
      <c r="C783" s="1">
        <v>45905.347025463001</v>
      </c>
      <c r="D783" t="s">
        <v>17</v>
      </c>
      <c r="E783" t="s">
        <v>23</v>
      </c>
      <c r="F783" s="2">
        <v>9091</v>
      </c>
      <c r="G783" s="2" t="str">
        <f>VLOOKUP(F783,Produtos!A:B,2,FALSE)</f>
        <v>TONICA ANTARCTICA LT 350ML SH C/12 NPAL</v>
      </c>
      <c r="H783" t="s">
        <v>475</v>
      </c>
      <c r="I78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3" s="9" t="str">
        <f>VLOOKUP(Table1[[#This Row],[Área avaliada]],Endereços!A:B,2,0)</f>
        <v>Área Azul</v>
      </c>
      <c r="K783" t="s">
        <v>510</v>
      </c>
    </row>
    <row r="784" spans="1:11" x14ac:dyDescent="0.3">
      <c r="A784">
        <v>783</v>
      </c>
      <c r="B784" s="1">
        <v>45908.378645833298</v>
      </c>
      <c r="C784" s="1">
        <v>45908.379224536999</v>
      </c>
      <c r="D784" t="s">
        <v>17</v>
      </c>
      <c r="E784" t="s">
        <v>23</v>
      </c>
      <c r="F784" s="2">
        <v>9320</v>
      </c>
      <c r="G784" s="2" t="str">
        <f>VLOOKUP(F784,Produtos!A:B,2,FALSE)</f>
        <v>BRAHMA CHOPP LT 473ML SH C/12 NPAL</v>
      </c>
      <c r="H784" t="s">
        <v>475</v>
      </c>
      <c r="I78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4" s="9" t="str">
        <f>VLOOKUP(Table1[[#This Row],[Área avaliada]],Endereços!A:B,2,0)</f>
        <v>Área Azul</v>
      </c>
      <c r="K784" t="s">
        <v>510</v>
      </c>
    </row>
    <row r="785" spans="1:11" x14ac:dyDescent="0.3">
      <c r="A785">
        <v>784</v>
      </c>
      <c r="B785" s="1">
        <v>45908.379328703697</v>
      </c>
      <c r="C785" s="1">
        <v>45908.379895833299</v>
      </c>
      <c r="D785" t="s">
        <v>17</v>
      </c>
      <c r="E785" t="s">
        <v>23</v>
      </c>
      <c r="F785" s="2">
        <v>9096</v>
      </c>
      <c r="G785" s="2" t="str">
        <f>VLOOKUP(F785,Produtos!A:B,2,FALSE)</f>
        <v>PEPSI COLA LATA 350ML SH C/12 NPAL</v>
      </c>
      <c r="H785" t="s">
        <v>475</v>
      </c>
      <c r="I78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5" s="9" t="str">
        <f>VLOOKUP(Table1[[#This Row],[Área avaliada]],Endereços!A:B,2,0)</f>
        <v>Área Azul</v>
      </c>
      <c r="K785" t="s">
        <v>510</v>
      </c>
    </row>
    <row r="786" spans="1:11" x14ac:dyDescent="0.3">
      <c r="A786">
        <v>785</v>
      </c>
      <c r="B786" s="1">
        <v>45908.379918981504</v>
      </c>
      <c r="C786" s="1">
        <v>45908.381516203699</v>
      </c>
      <c r="D786" t="s">
        <v>17</v>
      </c>
      <c r="E786" t="s">
        <v>20</v>
      </c>
      <c r="F786" s="2">
        <v>17808</v>
      </c>
      <c r="G786" s="2" t="str">
        <f>VLOOKUP(F786,Produtos!A:B,2,FALSE)</f>
        <v>BUDWEISER OW 330ML CX C 24</v>
      </c>
      <c r="H786" t="s">
        <v>475</v>
      </c>
      <c r="I78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6" s="9" t="str">
        <f>VLOOKUP(Table1[[#This Row],[Área avaliada]],Endereços!A:B,2,0)</f>
        <v>Área Azul</v>
      </c>
      <c r="K786" t="s">
        <v>510</v>
      </c>
    </row>
    <row r="787" spans="1:11" x14ac:dyDescent="0.3">
      <c r="A787">
        <v>786</v>
      </c>
      <c r="B787" s="1">
        <v>45908.381539351903</v>
      </c>
      <c r="C787" s="1">
        <v>45908.382129629601</v>
      </c>
      <c r="D787" t="s">
        <v>17</v>
      </c>
      <c r="E787" t="s">
        <v>20</v>
      </c>
      <c r="F787" s="2">
        <v>21020</v>
      </c>
      <c r="G787" s="2" t="str">
        <f>VLOOKUP(F787,Produtos!A:B,2,FALSE)</f>
        <v>BUDWEISER LT SLEEK 350ML CX CART C12</v>
      </c>
      <c r="H787" t="s">
        <v>475</v>
      </c>
      <c r="I78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7" s="9" t="str">
        <f>VLOOKUP(Table1[[#This Row],[Área avaliada]],Endereços!A:B,2,0)</f>
        <v>Área Azul</v>
      </c>
      <c r="K787" t="s">
        <v>510</v>
      </c>
    </row>
    <row r="788" spans="1:11" x14ac:dyDescent="0.3">
      <c r="A788">
        <v>787</v>
      </c>
      <c r="B788" s="1">
        <v>45908.382210648102</v>
      </c>
      <c r="C788" s="1">
        <v>45908.382800925901</v>
      </c>
      <c r="D788" t="s">
        <v>17</v>
      </c>
      <c r="E788" t="s">
        <v>33</v>
      </c>
      <c r="F788" s="2">
        <v>21020</v>
      </c>
      <c r="G788" s="2" t="str">
        <f>VLOOKUP(F788,Produtos!A:B,2,FALSE)</f>
        <v>BUDWEISER LT SLEEK 350ML CX CART C12</v>
      </c>
      <c r="H788" t="s">
        <v>475</v>
      </c>
      <c r="I78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8" s="9" t="str">
        <f>VLOOKUP(Table1[[#This Row],[Área avaliada]],Endereços!A:B,2,0)</f>
        <v>Área Verde</v>
      </c>
      <c r="K788" t="s">
        <v>510</v>
      </c>
    </row>
    <row r="789" spans="1:11" x14ac:dyDescent="0.3">
      <c r="A789">
        <v>788</v>
      </c>
      <c r="B789" s="1">
        <v>45908.387465277803</v>
      </c>
      <c r="C789" s="1">
        <v>45908.388287037</v>
      </c>
      <c r="D789" t="s">
        <v>19</v>
      </c>
      <c r="E789" t="s">
        <v>23</v>
      </c>
      <c r="F789" s="2">
        <v>2349</v>
      </c>
      <c r="G789" s="2" t="str">
        <f>VLOOKUP(F789,Produtos!A:B,2,FALSE)</f>
        <v>GUARANA CHP ANTARCTICA PET 2L CAIXA C/6</v>
      </c>
      <c r="H789" t="s">
        <v>482</v>
      </c>
      <c r="I78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9" s="9" t="str">
        <f>VLOOKUP(Table1[[#This Row],[Área avaliada]],Endereços!A:B,2,0)</f>
        <v>Área Azul</v>
      </c>
      <c r="K789" t="str">
        <f>VLOOKUP(Table1[[#This Row],[Nome do avaliador ]],M:N,2,0)</f>
        <v>A</v>
      </c>
    </row>
    <row r="790" spans="1:11" x14ac:dyDescent="0.3">
      <c r="A790">
        <v>789</v>
      </c>
      <c r="B790" s="1">
        <v>45909.405648148102</v>
      </c>
      <c r="C790" s="1">
        <v>45909.4062037037</v>
      </c>
      <c r="D790" t="s">
        <v>19</v>
      </c>
      <c r="E790" t="s">
        <v>25</v>
      </c>
      <c r="F790" s="2">
        <v>9084</v>
      </c>
      <c r="G790" s="2" t="str">
        <f>VLOOKUP(F790,Produtos!A:B,2,FALSE)</f>
        <v>GUARANA CHP ANTARCT LT350ML SH C/12 NPAL</v>
      </c>
      <c r="H790" t="s">
        <v>473</v>
      </c>
      <c r="I79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0" s="9" t="str">
        <f>VLOOKUP(Table1[[#This Row],[Área avaliada]],Endereços!A:B,2,0)</f>
        <v>Área Azul</v>
      </c>
      <c r="K790" t="str">
        <f>VLOOKUP(Table1[[#This Row],[Nome do avaliador ]],M:N,2,0)</f>
        <v>A</v>
      </c>
    </row>
    <row r="791" spans="1:11" x14ac:dyDescent="0.3">
      <c r="A791">
        <v>790</v>
      </c>
      <c r="B791" s="1">
        <v>45909.407488425903</v>
      </c>
      <c r="C791" s="1">
        <v>45909.407581018502</v>
      </c>
      <c r="D791" t="s">
        <v>19</v>
      </c>
      <c r="E791" t="s">
        <v>25</v>
      </c>
      <c r="F791" s="2">
        <v>26699</v>
      </c>
      <c r="G791" s="2" t="str">
        <f>VLOOKUP(F791,Produtos!A:B,2,FALSE)</f>
        <v>GUAR. CHP ANT PET 2,25L SH C6 250ML GRAT</v>
      </c>
      <c r="H791" t="s">
        <v>473</v>
      </c>
      <c r="I79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1" s="9" t="str">
        <f>VLOOKUP(Table1[[#This Row],[Área avaliada]],Endereços!A:B,2,0)</f>
        <v>Área Azul</v>
      </c>
      <c r="K791" t="str">
        <f>VLOOKUP(Table1[[#This Row],[Nome do avaliador ]],M:N,2,0)</f>
        <v>A</v>
      </c>
    </row>
    <row r="792" spans="1:11" x14ac:dyDescent="0.3">
      <c r="A792">
        <v>791</v>
      </c>
      <c r="B792" s="1">
        <v>45910.569942129601</v>
      </c>
      <c r="C792" s="1">
        <v>45910.570462962998</v>
      </c>
      <c r="D792" t="s">
        <v>17</v>
      </c>
      <c r="E792" t="s">
        <v>23</v>
      </c>
      <c r="F792" s="2">
        <v>12951</v>
      </c>
      <c r="G792" s="2" t="str">
        <f>VLOOKUP(F792,Produtos!A:B,2,FALSE)</f>
        <v>BRAHMA CHOPP ZERO LN 355 SIXP CX CART C4</v>
      </c>
      <c r="H792" t="s">
        <v>475</v>
      </c>
      <c r="I79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2" s="9" t="str">
        <f>VLOOKUP(Table1[[#This Row],[Área avaliada]],Endereços!A:B,2,0)</f>
        <v>Área Azul</v>
      </c>
      <c r="K792" t="s">
        <v>510</v>
      </c>
    </row>
    <row r="793" spans="1:11" x14ac:dyDescent="0.3">
      <c r="A793">
        <v>792</v>
      </c>
      <c r="B793" s="1">
        <v>45910.570486111101</v>
      </c>
      <c r="C793" s="1">
        <v>45910.571145833303</v>
      </c>
      <c r="D793" t="s">
        <v>17</v>
      </c>
      <c r="E793" t="s">
        <v>20</v>
      </c>
      <c r="F793" s="2">
        <v>12948</v>
      </c>
      <c r="G793" s="2" t="str">
        <f>VLOOKUP(F793,Produtos!A:B,2,FALSE)</f>
        <v>BRAHMA CHOPP ZERO LATA 350 SH CX C12 NPA</v>
      </c>
      <c r="H793" t="s">
        <v>475</v>
      </c>
      <c r="I79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3" s="9" t="str">
        <f>VLOOKUP(Table1[[#This Row],[Área avaliada]],Endereços!A:B,2,0)</f>
        <v>Área Azul</v>
      </c>
      <c r="K793" t="s">
        <v>510</v>
      </c>
    </row>
    <row r="794" spans="1:11" x14ac:dyDescent="0.3">
      <c r="A794">
        <v>793</v>
      </c>
      <c r="B794" s="1">
        <v>45910.724849537</v>
      </c>
      <c r="C794" s="1">
        <v>45910.727986111102</v>
      </c>
      <c r="D794" t="s">
        <v>31</v>
      </c>
      <c r="E794" t="s">
        <v>15</v>
      </c>
      <c r="G794" t="e">
        <f>VLOOKUP(F794,Produtos!A:B,2,FALSE)</f>
        <v>#N/A</v>
      </c>
      <c r="H794" t="s">
        <v>475</v>
      </c>
      <c r="I79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4" s="9" t="str">
        <f>VLOOKUP(Table1[[#This Row],[Área avaliada]],Endereços!A:B,2,0)</f>
        <v>Picking Alto Giro</v>
      </c>
      <c r="K794" t="str">
        <f>VLOOKUP(Table1[[#This Row],[Nome do avaliador ]],M:N,2,0)</f>
        <v>B</v>
      </c>
    </row>
    <row r="795" spans="1:11" x14ac:dyDescent="0.3">
      <c r="A795">
        <v>794</v>
      </c>
      <c r="B795" s="1">
        <v>45910.746145833298</v>
      </c>
      <c r="C795" s="1">
        <v>45910.746805555602</v>
      </c>
      <c r="D795" t="s">
        <v>17</v>
      </c>
      <c r="E795" t="s">
        <v>20</v>
      </c>
      <c r="F795" s="2">
        <v>17797</v>
      </c>
      <c r="G795" s="2" t="str">
        <f>VLOOKUP(F795,Produtos!A:B,2,FALSE)</f>
        <v>BRAHMA CHOPP LATA 350ML SH 18 MULTIPACK</v>
      </c>
      <c r="H795" t="s">
        <v>475</v>
      </c>
      <c r="I79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5" s="9" t="str">
        <f>VLOOKUP(Table1[[#This Row],[Área avaliada]],Endereços!A:B,2,0)</f>
        <v>Área Azul</v>
      </c>
      <c r="K795" t="s">
        <v>510</v>
      </c>
    </row>
    <row r="796" spans="1:11" x14ac:dyDescent="0.3">
      <c r="A796">
        <v>795</v>
      </c>
      <c r="B796" s="1">
        <v>45910.746840277803</v>
      </c>
      <c r="C796" s="1">
        <v>45910.7480671296</v>
      </c>
      <c r="D796" t="s">
        <v>17</v>
      </c>
      <c r="E796" t="s">
        <v>23</v>
      </c>
      <c r="F796" s="2">
        <v>9320</v>
      </c>
      <c r="G796" s="2" t="str">
        <f>VLOOKUP(F796,Produtos!A:B,2,FALSE)</f>
        <v>BRAHMA CHOPP LT 473ML SH C/12 NPAL</v>
      </c>
      <c r="H796" t="s">
        <v>475</v>
      </c>
      <c r="I79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6" s="9" t="str">
        <f>VLOOKUP(Table1[[#This Row],[Área avaliada]],Endereços!A:B,2,0)</f>
        <v>Área Azul</v>
      </c>
      <c r="K796" t="s">
        <v>510</v>
      </c>
    </row>
    <row r="797" spans="1:11" x14ac:dyDescent="0.3">
      <c r="A797">
        <v>796</v>
      </c>
      <c r="B797" s="1">
        <v>45910.748680555596</v>
      </c>
      <c r="C797" s="1">
        <v>45910.749155092599</v>
      </c>
      <c r="D797" t="s">
        <v>17</v>
      </c>
      <c r="E797" t="s">
        <v>23</v>
      </c>
      <c r="F797" s="2">
        <v>17678</v>
      </c>
      <c r="G797" s="2" t="str">
        <f>VLOOKUP(F797,Produtos!A:B,2,FALSE)</f>
        <v>SKOL LATA 350ML SH C/18 NPAL MULTPACK</v>
      </c>
      <c r="H797" t="s">
        <v>475</v>
      </c>
      <c r="I79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7" s="9" t="str">
        <f>VLOOKUP(Table1[[#This Row],[Área avaliada]],Endereços!A:B,2,0)</f>
        <v>Área Azul</v>
      </c>
      <c r="K797" t="s">
        <v>510</v>
      </c>
    </row>
    <row r="798" spans="1:11" x14ac:dyDescent="0.3">
      <c r="A798">
        <v>797</v>
      </c>
      <c r="B798" s="1">
        <v>45911.421481481499</v>
      </c>
      <c r="C798" s="1">
        <v>45911.4221875</v>
      </c>
      <c r="D798" t="s">
        <v>19</v>
      </c>
      <c r="E798" t="s">
        <v>23</v>
      </c>
      <c r="F798" s="2">
        <v>22177</v>
      </c>
      <c r="G798" s="2" t="str">
        <f>VLOOKUP(F798,Produtos!A:B,2,FALSE)</f>
        <v>BUDWEISER ZERO LT SLEEK 350ML C8 CX CART</v>
      </c>
      <c r="H798" t="s">
        <v>473</v>
      </c>
      <c r="I79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8" s="9" t="str">
        <f>VLOOKUP(Table1[[#This Row],[Área avaliada]],Endereços!A:B,2,0)</f>
        <v>Área Azul</v>
      </c>
      <c r="K798" t="str">
        <f>VLOOKUP(Table1[[#This Row],[Nome do avaliador ]],M:N,2,0)</f>
        <v>A</v>
      </c>
    </row>
    <row r="799" spans="1:11" x14ac:dyDescent="0.3">
      <c r="A799">
        <v>798</v>
      </c>
      <c r="B799" s="1">
        <v>45911.426064814797</v>
      </c>
      <c r="C799" s="1">
        <v>45911.426747685196</v>
      </c>
      <c r="D799" t="s">
        <v>19</v>
      </c>
      <c r="E799" t="s">
        <v>25</v>
      </c>
      <c r="F799" s="2">
        <v>9069</v>
      </c>
      <c r="G799" s="2" t="str">
        <f>VLOOKUP(F799,Produtos!A:B,2,FALSE)</f>
        <v>BRAHMA CHOPP LATA 350ML SH C/12 NPAL</v>
      </c>
      <c r="H799" t="s">
        <v>473</v>
      </c>
      <c r="I79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9" s="9" t="str">
        <f>VLOOKUP(Table1[[#This Row],[Área avaliada]],Endereços!A:B,2,0)</f>
        <v>Área Azul</v>
      </c>
      <c r="K799" t="str">
        <f>VLOOKUP(Table1[[#This Row],[Nome do avaliador ]],M:N,2,0)</f>
        <v>A</v>
      </c>
    </row>
    <row r="800" spans="1:11" x14ac:dyDescent="0.3">
      <c r="A800">
        <v>799</v>
      </c>
      <c r="B800" s="1">
        <v>45911.426747685196</v>
      </c>
      <c r="C800" s="1">
        <v>45911.427268518499</v>
      </c>
      <c r="D800" t="s">
        <v>17</v>
      </c>
      <c r="E800" t="s">
        <v>25</v>
      </c>
      <c r="F800" s="2">
        <v>9069</v>
      </c>
      <c r="G800" s="2" t="str">
        <f>VLOOKUP(F800,Produtos!A:B,2,FALSE)</f>
        <v>BRAHMA CHOPP LATA 350ML SH C/12 NPAL</v>
      </c>
      <c r="H800" t="s">
        <v>475</v>
      </c>
      <c r="I80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0" s="9" t="str">
        <f>VLOOKUP(Table1[[#This Row],[Área avaliada]],Endereços!A:B,2,0)</f>
        <v>Área Azul</v>
      </c>
      <c r="K800" t="s">
        <v>510</v>
      </c>
    </row>
    <row r="801" spans="1:11" x14ac:dyDescent="0.3">
      <c r="A801">
        <v>800</v>
      </c>
      <c r="B801" s="1">
        <v>45911.4273032407</v>
      </c>
      <c r="C801" s="1">
        <v>45911.427962962996</v>
      </c>
      <c r="D801" t="s">
        <v>17</v>
      </c>
      <c r="E801" t="s">
        <v>23</v>
      </c>
      <c r="F801" s="2">
        <v>23163</v>
      </c>
      <c r="G801" s="2" t="str">
        <f>VLOOKUP(F801,Produtos!A:B,2,FALSE)</f>
        <v>SUKITA TUBAINA PET 2L SHRINK C/6</v>
      </c>
      <c r="H801" t="s">
        <v>475</v>
      </c>
      <c r="I80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1" s="9" t="str">
        <f>VLOOKUP(Table1[[#This Row],[Área avaliada]],Endereços!A:B,2,0)</f>
        <v>Área Azul</v>
      </c>
      <c r="K801" t="s">
        <v>510</v>
      </c>
    </row>
    <row r="802" spans="1:11" x14ac:dyDescent="0.3">
      <c r="A802">
        <v>801</v>
      </c>
      <c r="B802" s="1">
        <v>45911.894224536998</v>
      </c>
      <c r="C802" s="1">
        <v>45911.894745370402</v>
      </c>
      <c r="D802" t="s">
        <v>21</v>
      </c>
      <c r="E802" t="s">
        <v>18</v>
      </c>
      <c r="G802" t="e">
        <f>VLOOKUP(F802,Produtos!A:B,2,FALSE)</f>
        <v>#N/A</v>
      </c>
      <c r="H802" t="s">
        <v>480</v>
      </c>
      <c r="I80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2" s="9" t="str">
        <f>VLOOKUP(Table1[[#This Row],[Área avaliada]],Endereços!A:B,2,0)</f>
        <v>Área Vermelho</v>
      </c>
      <c r="K802" t="str">
        <f>VLOOKUP(Table1[[#This Row],[Nome do avaliador ]],M:N,2,0)</f>
        <v>B</v>
      </c>
    </row>
    <row r="803" spans="1:11" x14ac:dyDescent="0.3">
      <c r="A803">
        <v>802</v>
      </c>
      <c r="B803" s="1">
        <v>45912.396678240701</v>
      </c>
      <c r="C803" s="1">
        <v>45912.3968634259</v>
      </c>
      <c r="D803" t="s">
        <v>19</v>
      </c>
      <c r="E803" t="s">
        <v>25</v>
      </c>
      <c r="F803" s="2">
        <v>17797</v>
      </c>
      <c r="G803" s="2" t="str">
        <f>VLOOKUP(F803,Produtos!A:B,2,FALSE)</f>
        <v>BRAHMA CHOPP LATA 350ML SH 18 MULTIPACK</v>
      </c>
      <c r="H803" t="s">
        <v>473</v>
      </c>
      <c r="I80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3" s="9" t="str">
        <f>VLOOKUP(Table1[[#This Row],[Área avaliada]],Endereços!A:B,2,0)</f>
        <v>Área Azul</v>
      </c>
      <c r="K803" t="str">
        <f>VLOOKUP(Table1[[#This Row],[Nome do avaliador ]],M:N,2,0)</f>
        <v>A</v>
      </c>
    </row>
    <row r="804" spans="1:11" x14ac:dyDescent="0.3">
      <c r="A804">
        <v>803</v>
      </c>
      <c r="B804" s="1">
        <v>45912.416296296302</v>
      </c>
      <c r="C804" s="1">
        <v>45912.416851851798</v>
      </c>
      <c r="D804" t="s">
        <v>19</v>
      </c>
      <c r="E804" t="s">
        <v>23</v>
      </c>
      <c r="F804" s="2">
        <v>9091</v>
      </c>
      <c r="G804" s="2" t="str">
        <f>VLOOKUP(F804,Produtos!A:B,2,FALSE)</f>
        <v>TONICA ANTARCTICA LT 350ML SH C/12 NPAL</v>
      </c>
      <c r="H804" t="s">
        <v>474</v>
      </c>
      <c r="I80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4" s="9" t="str">
        <f>VLOOKUP(Table1[[#This Row],[Área avaliada]],Endereços!A:B,2,0)</f>
        <v>Área Azul</v>
      </c>
      <c r="K804" t="str">
        <f>VLOOKUP(Table1[[#This Row],[Nome do avaliador ]],M:N,2,0)</f>
        <v>A</v>
      </c>
    </row>
    <row r="805" spans="1:11" x14ac:dyDescent="0.3">
      <c r="A805">
        <v>804</v>
      </c>
      <c r="B805" s="1">
        <v>45912.829189814802</v>
      </c>
      <c r="C805" s="1">
        <v>45912.829849537004</v>
      </c>
      <c r="D805" t="s">
        <v>17</v>
      </c>
      <c r="E805" t="s">
        <v>23</v>
      </c>
      <c r="F805" s="2">
        <v>9091</v>
      </c>
      <c r="G805" s="2" t="str">
        <f>VLOOKUP(F805,Produtos!A:B,2,FALSE)</f>
        <v>TONICA ANTARCTICA LT 350ML SH C/12 NPAL</v>
      </c>
      <c r="H805" t="s">
        <v>475</v>
      </c>
      <c r="I80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5" s="9" t="str">
        <f>VLOOKUP(Table1[[#This Row],[Área avaliada]],Endereços!A:B,2,0)</f>
        <v>Área Azul</v>
      </c>
      <c r="K805" t="s">
        <v>510</v>
      </c>
    </row>
    <row r="806" spans="1:11" x14ac:dyDescent="0.3">
      <c r="A806">
        <v>805</v>
      </c>
      <c r="B806" s="1">
        <v>45912.829861111102</v>
      </c>
      <c r="C806" s="1">
        <v>45912.830486111103</v>
      </c>
      <c r="D806" t="s">
        <v>17</v>
      </c>
      <c r="E806" t="s">
        <v>25</v>
      </c>
      <c r="F806" s="2">
        <v>9069</v>
      </c>
      <c r="G806" s="2" t="str">
        <f>VLOOKUP(F806,Produtos!A:B,2,FALSE)</f>
        <v>BRAHMA CHOPP LATA 350ML SH C/12 NPAL</v>
      </c>
      <c r="H806" t="s">
        <v>475</v>
      </c>
      <c r="I80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6" s="9" t="str">
        <f>VLOOKUP(Table1[[#This Row],[Área avaliada]],Endereços!A:B,2,0)</f>
        <v>Área Azul</v>
      </c>
      <c r="K806" t="s">
        <v>510</v>
      </c>
    </row>
    <row r="807" spans="1:11" x14ac:dyDescent="0.3">
      <c r="A807">
        <v>806</v>
      </c>
      <c r="B807" s="1">
        <v>45912.830682870401</v>
      </c>
      <c r="C807" s="1">
        <v>45912.831296296303</v>
      </c>
      <c r="D807" t="s">
        <v>17</v>
      </c>
      <c r="E807" t="s">
        <v>23</v>
      </c>
      <c r="F807" s="2">
        <v>19310</v>
      </c>
      <c r="G807" s="2" t="str">
        <f>VLOOKUP(F807,Produtos!A:B,2,FALSE)</f>
        <v>ORIGINAL LATA 350ML CX CARTAO C/12 NPAL</v>
      </c>
      <c r="H807" t="s">
        <v>475</v>
      </c>
      <c r="I80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7" s="9" t="str">
        <f>VLOOKUP(Table1[[#This Row],[Área avaliada]],Endereços!A:B,2,0)</f>
        <v>Área Azul</v>
      </c>
      <c r="K807" t="s">
        <v>510</v>
      </c>
    </row>
    <row r="808" spans="1:11" x14ac:dyDescent="0.3">
      <c r="A808">
        <v>807</v>
      </c>
      <c r="B808" s="1">
        <v>45913.425659722197</v>
      </c>
      <c r="C808" s="1">
        <v>45913.426215277803</v>
      </c>
      <c r="D808" t="s">
        <v>7</v>
      </c>
      <c r="E808" t="s">
        <v>32</v>
      </c>
      <c r="G808" t="e">
        <f>VLOOKUP(F808,Produtos!A:B,2,FALSE)</f>
        <v>#N/A</v>
      </c>
      <c r="H808" t="s">
        <v>477</v>
      </c>
      <c r="I80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8" s="9" t="str">
        <f>VLOOKUP(Table1[[#This Row],[Área avaliada]],Endereços!A:B,2,0)</f>
        <v>Área Vermelho</v>
      </c>
      <c r="K808" t="str">
        <f>VLOOKUP(Table1[[#This Row],[Nome do avaliador ]],M:N,2,0)</f>
        <v>A</v>
      </c>
    </row>
    <row r="809" spans="1:11" x14ac:dyDescent="0.3">
      <c r="A809">
        <v>808</v>
      </c>
      <c r="B809" s="1">
        <v>45913.535983796297</v>
      </c>
      <c r="C809" s="1">
        <v>45913.536643518499</v>
      </c>
      <c r="D809" t="s">
        <v>19</v>
      </c>
      <c r="E809" t="s">
        <v>23</v>
      </c>
      <c r="F809" s="2">
        <v>21658</v>
      </c>
      <c r="G809" s="2" t="str">
        <f>VLOOKUP(F809,Produtos!A:B,2,FALSE)</f>
        <v>SPATEN N LT SLEEK 350ML CX CART C12</v>
      </c>
      <c r="H809" t="s">
        <v>473</v>
      </c>
      <c r="I80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9" s="9" t="str">
        <f>VLOOKUP(Table1[[#This Row],[Área avaliada]],Endereços!A:B,2,0)</f>
        <v>Área Azul</v>
      </c>
      <c r="K809" t="str">
        <f>VLOOKUP(Table1[[#This Row],[Nome do avaliador ]],M:N,2,0)</f>
        <v>A</v>
      </c>
    </row>
    <row r="810" spans="1:11" x14ac:dyDescent="0.3">
      <c r="A810">
        <v>809</v>
      </c>
      <c r="B810" s="1">
        <v>45919.762083333299</v>
      </c>
      <c r="C810" s="1">
        <v>45919.7643634259</v>
      </c>
      <c r="D810" t="s">
        <v>31</v>
      </c>
      <c r="E810" t="s">
        <v>15</v>
      </c>
      <c r="F810" t="s">
        <v>46</v>
      </c>
      <c r="G810" t="e">
        <f>VLOOKUP(F810,Produtos!A:B,2,FALSE)</f>
        <v>#N/A</v>
      </c>
      <c r="H810" t="s">
        <v>481</v>
      </c>
      <c r="I81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10" s="9" t="str">
        <f>VLOOKUP(Table1[[#This Row],[Área avaliada]],Endereços!A:B,2,0)</f>
        <v>Picking Alto Giro</v>
      </c>
      <c r="K810" t="str">
        <f>VLOOKUP(Table1[[#This Row],[Nome do avaliador ]],M:N,2,0)</f>
        <v>B</v>
      </c>
    </row>
    <row r="811" spans="1:11" x14ac:dyDescent="0.3">
      <c r="A811">
        <v>810</v>
      </c>
      <c r="B811" s="1">
        <v>45923.913113425901</v>
      </c>
      <c r="C811" s="1">
        <v>45923.913622685199</v>
      </c>
      <c r="D811" t="s">
        <v>21</v>
      </c>
      <c r="E811" t="s">
        <v>18</v>
      </c>
      <c r="G811" t="e">
        <f>VLOOKUP(F811,Produtos!A:B,2,FALSE)</f>
        <v>#N/A</v>
      </c>
      <c r="H811" t="s">
        <v>477</v>
      </c>
      <c r="I81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11" s="9" t="str">
        <f>VLOOKUP(Table1[[#This Row],[Área avaliada]],Endereços!A:B,2,0)</f>
        <v>Área Vermelho</v>
      </c>
      <c r="K811" t="str">
        <f>VLOOKUP(Table1[[#This Row],[Nome do avaliador ]],M:N,2,0)</f>
        <v>B</v>
      </c>
    </row>
    <row r="812" spans="1:11" x14ac:dyDescent="0.3">
      <c r="A812">
        <v>811</v>
      </c>
      <c r="B812" s="1">
        <v>45924.717546296299</v>
      </c>
      <c r="C812" s="1">
        <v>45924.7188888889</v>
      </c>
      <c r="D812" t="s">
        <v>31</v>
      </c>
      <c r="E812" t="s">
        <v>15</v>
      </c>
      <c r="G812" t="e">
        <f>VLOOKUP(F812,Produtos!A:B,2,FALSE)</f>
        <v>#N/A</v>
      </c>
      <c r="H812" t="s">
        <v>477</v>
      </c>
      <c r="I81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12" s="9" t="str">
        <f>VLOOKUP(Table1[[#This Row],[Área avaliada]],Endereços!A:B,2,0)</f>
        <v>Picking Alto Giro</v>
      </c>
      <c r="K812" t="str">
        <f>VLOOKUP(Table1[[#This Row],[Nome do avaliador ]],M:N,2,0)</f>
        <v>B</v>
      </c>
    </row>
    <row r="813" spans="1:11" x14ac:dyDescent="0.3">
      <c r="A813">
        <v>812</v>
      </c>
      <c r="B813" s="1">
        <v>45931.719097222202</v>
      </c>
      <c r="C813" s="1">
        <v>45931.722662036998</v>
      </c>
      <c r="D813" t="s">
        <v>31</v>
      </c>
      <c r="E813" t="s">
        <v>15</v>
      </c>
      <c r="G813" t="e">
        <f>VLOOKUP(F813,Produtos!A:B,2,FALSE)</f>
        <v>#N/A</v>
      </c>
      <c r="H813" t="s">
        <v>477</v>
      </c>
      <c r="I81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3" s="9" t="str">
        <f>VLOOKUP(Table1[[#This Row],[Área avaliada]],Endereços!A:B,2,0)</f>
        <v>Picking Alto Giro</v>
      </c>
      <c r="K813" t="str">
        <f>VLOOKUP(Table1[[#This Row],[Nome do avaliador ]],M:N,2,0)</f>
        <v>B</v>
      </c>
    </row>
    <row r="814" spans="1:11" x14ac:dyDescent="0.3">
      <c r="A814">
        <v>813</v>
      </c>
      <c r="B814" s="1">
        <v>45938.324351851901</v>
      </c>
      <c r="C814" s="1">
        <v>45938.324930555602</v>
      </c>
      <c r="D814" t="s">
        <v>19</v>
      </c>
      <c r="E814" t="s">
        <v>23</v>
      </c>
      <c r="F814" s="2">
        <v>504</v>
      </c>
      <c r="G814" s="2" t="str">
        <f>VLOOKUP(F814,Produtos!A:B,2,FALSE)</f>
        <v>PEPSI COLA PET 2L CAIXA C/6</v>
      </c>
      <c r="H814" t="s">
        <v>473</v>
      </c>
      <c r="I81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4" s="9" t="str">
        <f>VLOOKUP(Table1[[#This Row],[Área avaliada]],Endereços!A:B,2,0)</f>
        <v>Área Azul</v>
      </c>
      <c r="K814" t="str">
        <f>VLOOKUP(Table1[[#This Row],[Nome do avaliador ]],M:N,2,0)</f>
        <v>A</v>
      </c>
    </row>
    <row r="815" spans="1:11" x14ac:dyDescent="0.3">
      <c r="A815">
        <v>814</v>
      </c>
      <c r="B815" s="1">
        <v>45938.325995370396</v>
      </c>
      <c r="C815" s="1">
        <v>45938.326655092598</v>
      </c>
      <c r="D815" t="s">
        <v>19</v>
      </c>
      <c r="E815" t="s">
        <v>23</v>
      </c>
      <c r="F815" s="2">
        <v>14135</v>
      </c>
      <c r="G815" s="2" t="str">
        <f>VLOOKUP(F815,Produtos!A:B,2,FALSE)</f>
        <v>BUDWEISER LT 473ML SIX-PACK SH C/2 NPAL</v>
      </c>
      <c r="H815" t="s">
        <v>473</v>
      </c>
      <c r="I81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5" s="9" t="str">
        <f>VLOOKUP(Table1[[#This Row],[Área avaliada]],Endereços!A:B,2,0)</f>
        <v>Área Azul</v>
      </c>
      <c r="K815" t="str">
        <f>VLOOKUP(Table1[[#This Row],[Nome do avaliador ]],M:N,2,0)</f>
        <v>A</v>
      </c>
    </row>
    <row r="816" spans="1:11" x14ac:dyDescent="0.3">
      <c r="A816">
        <v>815</v>
      </c>
      <c r="B816" s="1">
        <v>45938.328703703701</v>
      </c>
      <c r="C816" s="1">
        <v>45938.3292939815</v>
      </c>
      <c r="D816" t="s">
        <v>19</v>
      </c>
      <c r="E816" t="s">
        <v>23</v>
      </c>
      <c r="F816" s="2">
        <v>9093</v>
      </c>
      <c r="G816" s="2" t="str">
        <f>VLOOKUP(F816,Produtos!A:B,2,FALSE)</f>
        <v>PEPSI TWIST LATA 350ML SH C/12 NPAL</v>
      </c>
      <c r="H816" t="s">
        <v>473</v>
      </c>
      <c r="I81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6" s="9" t="str">
        <f>VLOOKUP(Table1[[#This Row],[Área avaliada]],Endereços!A:B,2,0)</f>
        <v>Área Azul</v>
      </c>
      <c r="K816" t="str">
        <f>VLOOKUP(Table1[[#This Row],[Nome do avaliador ]],M:N,2,0)</f>
        <v>A</v>
      </c>
    </row>
    <row r="817" spans="1:11" x14ac:dyDescent="0.3">
      <c r="A817">
        <v>816</v>
      </c>
      <c r="B817" s="1">
        <v>45938.329872685201</v>
      </c>
      <c r="C817" s="1">
        <v>45938.330590277801</v>
      </c>
      <c r="D817" t="s">
        <v>19</v>
      </c>
      <c r="E817" t="s">
        <v>23</v>
      </c>
      <c r="F817" s="2">
        <v>19729</v>
      </c>
      <c r="G817" s="2" t="str">
        <f>VLOOKUP(F817,Produtos!A:B,2,FALSE)</f>
        <v>STELLA ARTOIS LT SLEEK 350ML C 8 CX CART</v>
      </c>
      <c r="H817" t="s">
        <v>473</v>
      </c>
      <c r="I81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7" s="9" t="str">
        <f>VLOOKUP(Table1[[#This Row],[Área avaliada]],Endereços!A:B,2,0)</f>
        <v>Área Azul</v>
      </c>
      <c r="K817" t="str">
        <f>VLOOKUP(Table1[[#This Row],[Nome do avaliador ]],M:N,2,0)</f>
        <v>A</v>
      </c>
    </row>
    <row r="818" spans="1:11" x14ac:dyDescent="0.3">
      <c r="A818">
        <v>817</v>
      </c>
      <c r="B818" s="1">
        <v>45938.332048611097</v>
      </c>
      <c r="C818" s="1">
        <v>45938.332546296297</v>
      </c>
      <c r="D818" t="s">
        <v>19</v>
      </c>
      <c r="E818" t="s">
        <v>23</v>
      </c>
      <c r="F818" s="2">
        <v>9068</v>
      </c>
      <c r="G818" s="2" t="str">
        <f>VLOOKUP(F818,Produtos!A:B,2,FALSE)</f>
        <v>SKOL LATA 350ML SH C/12 NPAL</v>
      </c>
      <c r="H818" t="s">
        <v>473</v>
      </c>
      <c r="I81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8" s="9" t="str">
        <f>VLOOKUP(Table1[[#This Row],[Área avaliada]],Endereços!A:B,2,0)</f>
        <v>Área Azul</v>
      </c>
      <c r="K818" t="str">
        <f>VLOOKUP(Table1[[#This Row],[Nome do avaliador ]],M:N,2,0)</f>
        <v>A</v>
      </c>
    </row>
    <row r="819" spans="1:11" x14ac:dyDescent="0.3">
      <c r="A819">
        <v>818</v>
      </c>
      <c r="B819" s="1">
        <v>45938.3331944444</v>
      </c>
      <c r="C819" s="1">
        <v>45938.333854166704</v>
      </c>
      <c r="D819" t="s">
        <v>19</v>
      </c>
      <c r="E819" t="s">
        <v>23</v>
      </c>
      <c r="F819" s="2">
        <v>19310</v>
      </c>
      <c r="G819" s="2" t="str">
        <f>VLOOKUP(F819,Produtos!A:B,2,FALSE)</f>
        <v>ORIGINAL LATA 350ML CX CARTAO C/12 NPAL</v>
      </c>
      <c r="H819" t="s">
        <v>473</v>
      </c>
      <c r="I81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9" s="9" t="str">
        <f>VLOOKUP(Table1[[#This Row],[Área avaliada]],Endereços!A:B,2,0)</f>
        <v>Área Azul</v>
      </c>
      <c r="K819" t="str">
        <f>VLOOKUP(Table1[[#This Row],[Nome do avaliador ]],M:N,2,0)</f>
        <v>A</v>
      </c>
    </row>
    <row r="820" spans="1:11" x14ac:dyDescent="0.3">
      <c r="A820">
        <v>819</v>
      </c>
      <c r="B820" s="1">
        <v>45938.335474537002</v>
      </c>
      <c r="C820" s="1">
        <v>45938.336157407401</v>
      </c>
      <c r="D820" t="s">
        <v>19</v>
      </c>
      <c r="E820" t="s">
        <v>20</v>
      </c>
      <c r="F820" s="2">
        <v>9067</v>
      </c>
      <c r="G820" s="2" t="str">
        <f>VLOOKUP(F820,Produtos!A:B,2,FALSE)</f>
        <v>ANTARCTICA PILSEN LATA 350ML SH C/12 NPA</v>
      </c>
      <c r="H820" t="s">
        <v>473</v>
      </c>
      <c r="I82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0" s="9" t="str">
        <f>VLOOKUP(Table1[[#This Row],[Área avaliada]],Endereços!A:B,2,0)</f>
        <v>Área Azul</v>
      </c>
      <c r="K820" t="str">
        <f>VLOOKUP(Table1[[#This Row],[Nome do avaliador ]],M:N,2,0)</f>
        <v>A</v>
      </c>
    </row>
    <row r="821" spans="1:11" x14ac:dyDescent="0.3">
      <c r="A821">
        <v>820</v>
      </c>
      <c r="B821" s="1">
        <v>45938.337500000001</v>
      </c>
      <c r="C821" s="1">
        <v>45938.338310185201</v>
      </c>
      <c r="D821" t="s">
        <v>19</v>
      </c>
      <c r="E821" t="s">
        <v>33</v>
      </c>
      <c r="F821" s="2">
        <v>2349</v>
      </c>
      <c r="G821" s="2" t="str">
        <f>VLOOKUP(F821,Produtos!A:B,2,FALSE)</f>
        <v>GUARANA CHP ANTARCTICA PET 2L CAIXA C/6</v>
      </c>
      <c r="H821" t="s">
        <v>478</v>
      </c>
      <c r="I82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1" s="9" t="str">
        <f>VLOOKUP(Table1[[#This Row],[Área avaliada]],Endereços!A:B,2,0)</f>
        <v>Área Verde</v>
      </c>
      <c r="K821" t="str">
        <f>VLOOKUP(Table1[[#This Row],[Nome do avaliador ]],M:N,2,0)</f>
        <v>A</v>
      </c>
    </row>
    <row r="822" spans="1:11" x14ac:dyDescent="0.3">
      <c r="A822">
        <v>821</v>
      </c>
      <c r="B822" s="1">
        <v>45938.3808333333</v>
      </c>
      <c r="C822" s="1">
        <v>45938.385879629597</v>
      </c>
      <c r="D822" t="s">
        <v>17</v>
      </c>
      <c r="E822" t="s">
        <v>23</v>
      </c>
      <c r="F822" s="2">
        <v>12948</v>
      </c>
      <c r="G822" s="2" t="str">
        <f>VLOOKUP(F822,Produtos!A:B,2,FALSE)</f>
        <v>BRAHMA CHOPP ZERO LATA 350 SH CX C12 NPA</v>
      </c>
      <c r="H822" t="s">
        <v>475</v>
      </c>
      <c r="I82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2" s="9" t="str">
        <f>VLOOKUP(Table1[[#This Row],[Área avaliada]],Endereços!A:B,2,0)</f>
        <v>Área Azul</v>
      </c>
      <c r="K822" t="s">
        <v>510</v>
      </c>
    </row>
    <row r="823" spans="1:11" x14ac:dyDescent="0.3">
      <c r="A823">
        <v>822</v>
      </c>
      <c r="B823" s="1">
        <v>45938.670520833301</v>
      </c>
      <c r="C823" s="1">
        <v>45938.677083333299</v>
      </c>
      <c r="D823" t="s">
        <v>31</v>
      </c>
      <c r="E823" t="s">
        <v>15</v>
      </c>
      <c r="F823" s="2">
        <v>23450</v>
      </c>
      <c r="G823" s="2" t="str">
        <f>VLOOKUP(F823,Produtos!A:B,2,FALSE)</f>
        <v>MIKES HARD LEM PITAIA N LT269ML SH12</v>
      </c>
      <c r="H823" t="s">
        <v>475</v>
      </c>
      <c r="I82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3" s="9" t="str">
        <f>VLOOKUP(Table1[[#This Row],[Área avaliada]],Endereços!A:B,2,0)</f>
        <v>Picking Alto Giro</v>
      </c>
      <c r="K823" t="str">
        <f>VLOOKUP(Table1[[#This Row],[Nome do avaliador ]],M:N,2,0)</f>
        <v>B</v>
      </c>
    </row>
    <row r="824" spans="1:11" x14ac:dyDescent="0.3">
      <c r="A824">
        <v>823</v>
      </c>
      <c r="B824" s="1">
        <v>45939.355115740698</v>
      </c>
      <c r="C824" s="1">
        <v>45939.355775463002</v>
      </c>
      <c r="D824" t="s">
        <v>19</v>
      </c>
      <c r="E824" t="s">
        <v>25</v>
      </c>
      <c r="F824" s="2">
        <v>9320</v>
      </c>
      <c r="G824" s="2" t="str">
        <f>VLOOKUP(F824,Produtos!A:B,2,FALSE)</f>
        <v>BRAHMA CHOPP LT 473ML SH C/12 NPAL</v>
      </c>
      <c r="H824" t="s">
        <v>473</v>
      </c>
      <c r="I82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4" s="9" t="str">
        <f>VLOOKUP(Table1[[#This Row],[Área avaliada]],Endereços!A:B,2,0)</f>
        <v>Área Azul</v>
      </c>
      <c r="K824" t="str">
        <f>VLOOKUP(Table1[[#This Row],[Nome do avaliador ]],M:N,2,0)</f>
        <v>A</v>
      </c>
    </row>
    <row r="825" spans="1:11" x14ac:dyDescent="0.3">
      <c r="A825">
        <v>824</v>
      </c>
      <c r="B825" s="1">
        <v>45939.356180555602</v>
      </c>
      <c r="C825" s="1">
        <v>45939.356689814798</v>
      </c>
      <c r="D825" t="s">
        <v>19</v>
      </c>
      <c r="E825" t="s">
        <v>20</v>
      </c>
      <c r="F825" s="2">
        <v>9085</v>
      </c>
      <c r="G825" s="2" t="str">
        <f>VLOOKUP(F825,Produtos!A:B,2,FALSE)</f>
        <v>GUARANA CHP ANTARCT DIET LT350ML SHC/12</v>
      </c>
      <c r="H825" t="s">
        <v>473</v>
      </c>
      <c r="I82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5" s="9" t="str">
        <f>VLOOKUP(Table1[[#This Row],[Área avaliada]],Endereços!A:B,2,0)</f>
        <v>Área Azul</v>
      </c>
      <c r="K825" t="str">
        <f>VLOOKUP(Table1[[#This Row],[Nome do avaliador ]],M:N,2,0)</f>
        <v>A</v>
      </c>
    </row>
    <row r="826" spans="1:11" x14ac:dyDescent="0.3">
      <c r="A826">
        <v>825</v>
      </c>
      <c r="B826" s="1">
        <v>45939.400810185201</v>
      </c>
      <c r="C826" s="1">
        <v>45939.401446759301</v>
      </c>
      <c r="D826" t="s">
        <v>19</v>
      </c>
      <c r="E826" t="s">
        <v>23</v>
      </c>
      <c r="F826" s="2">
        <v>9081</v>
      </c>
      <c r="G826" s="2" t="str">
        <f>VLOOKUP(F826,Produtos!A:B,2,FALSE)</f>
        <v>MALZBIER BRAHMA LATA 350ML SH C/12 NPAL</v>
      </c>
      <c r="H826" t="s">
        <v>473</v>
      </c>
      <c r="I82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6" s="9" t="str">
        <f>VLOOKUP(Table1[[#This Row],[Área avaliada]],Endereços!A:B,2,0)</f>
        <v>Área Azul</v>
      </c>
      <c r="K826" t="str">
        <f>VLOOKUP(Table1[[#This Row],[Nome do avaliador ]],M:N,2,0)</f>
        <v>A</v>
      </c>
    </row>
    <row r="827" spans="1:11" x14ac:dyDescent="0.3">
      <c r="A827">
        <v>826</v>
      </c>
      <c r="B827" s="1">
        <v>45939.404606481497</v>
      </c>
      <c r="C827" s="1">
        <v>45939.4051736111</v>
      </c>
      <c r="D827" t="s">
        <v>19</v>
      </c>
      <c r="E827" t="s">
        <v>20</v>
      </c>
      <c r="F827" s="2">
        <v>9071</v>
      </c>
      <c r="G827" s="2" t="str">
        <f>VLOOKUP(F827,Produtos!A:B,2,FALSE)</f>
        <v>CARACU LATA 350ML SH C/12 NPAL</v>
      </c>
      <c r="H827" t="s">
        <v>473</v>
      </c>
      <c r="I82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7" s="9" t="str">
        <f>VLOOKUP(Table1[[#This Row],[Área avaliada]],Endereços!A:B,2,0)</f>
        <v>Área Azul</v>
      </c>
      <c r="K827" t="str">
        <f>VLOOKUP(Table1[[#This Row],[Nome do avaliador ]],M:N,2,0)</f>
        <v>A</v>
      </c>
    </row>
    <row r="828" spans="1:11" x14ac:dyDescent="0.3">
      <c r="A828">
        <v>827</v>
      </c>
      <c r="B828" s="1">
        <v>45939.4058912037</v>
      </c>
      <c r="C828" s="1">
        <v>45939.4067939815</v>
      </c>
      <c r="D828" t="s">
        <v>19</v>
      </c>
      <c r="E828" t="s">
        <v>25</v>
      </c>
      <c r="F828" s="2">
        <v>9069</v>
      </c>
      <c r="G828" s="2" t="str">
        <f>VLOOKUP(F828,Produtos!A:B,2,FALSE)</f>
        <v>BRAHMA CHOPP LATA 350ML SH C/12 NPAL</v>
      </c>
      <c r="H828" t="s">
        <v>473</v>
      </c>
      <c r="I82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8" s="9" t="str">
        <f>VLOOKUP(Table1[[#This Row],[Área avaliada]],Endereços!A:B,2,0)</f>
        <v>Área Azul</v>
      </c>
      <c r="K828" t="str">
        <f>VLOOKUP(Table1[[#This Row],[Nome do avaliador ]],M:N,2,0)</f>
        <v>A</v>
      </c>
    </row>
    <row r="829" spans="1:11" x14ac:dyDescent="0.3">
      <c r="A829">
        <v>828</v>
      </c>
      <c r="B829" s="1">
        <v>45940.3933680556</v>
      </c>
      <c r="C829" s="1">
        <v>45940.393807870401</v>
      </c>
      <c r="D829" t="s">
        <v>19</v>
      </c>
      <c r="E829" t="s">
        <v>23</v>
      </c>
      <c r="F829" s="2">
        <v>9320</v>
      </c>
      <c r="G829" s="2" t="str">
        <f>VLOOKUP(F829,Produtos!A:B,2,FALSE)</f>
        <v>BRAHMA CHOPP LT 473ML SH C/12 NPAL</v>
      </c>
      <c r="H829" t="s">
        <v>473</v>
      </c>
      <c r="I82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9" s="9" t="str">
        <f>VLOOKUP(Table1[[#This Row],[Área avaliada]],Endereços!A:B,2,0)</f>
        <v>Área Azul</v>
      </c>
      <c r="K829" t="str">
        <f>VLOOKUP(Table1[[#This Row],[Nome do avaliador ]],M:N,2,0)</f>
        <v>A</v>
      </c>
    </row>
    <row r="830" spans="1:11" x14ac:dyDescent="0.3">
      <c r="A830">
        <v>829</v>
      </c>
      <c r="B830" s="1">
        <v>45940.394155092603</v>
      </c>
      <c r="C830" s="1">
        <v>45940.395162036999</v>
      </c>
      <c r="D830" t="s">
        <v>17</v>
      </c>
      <c r="E830" t="s">
        <v>23</v>
      </c>
      <c r="F830" s="2">
        <v>34263</v>
      </c>
      <c r="G830" s="2" t="str">
        <f>VLOOKUP(F830,Produtos!A:B,2,FALSE)</f>
        <v>CORONA CERO SUN N LT SL 350ML C8 CX CART</v>
      </c>
      <c r="H830" t="s">
        <v>475</v>
      </c>
      <c r="I83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0" s="9" t="str">
        <f>VLOOKUP(Table1[[#This Row],[Área avaliada]],Endereços!A:B,2,0)</f>
        <v>Área Azul</v>
      </c>
      <c r="K830" t="s">
        <v>510</v>
      </c>
    </row>
    <row r="831" spans="1:11" x14ac:dyDescent="0.3">
      <c r="A831">
        <v>830</v>
      </c>
      <c r="B831" s="1">
        <v>45940.4312615741</v>
      </c>
      <c r="C831" s="1">
        <v>45940.431817129604</v>
      </c>
      <c r="D831" t="s">
        <v>19</v>
      </c>
      <c r="E831" t="s">
        <v>23</v>
      </c>
      <c r="F831" s="2">
        <v>20651</v>
      </c>
      <c r="G831" s="2" t="str">
        <f>VLOOKUP(F831,Produtos!A:B,2,FALSE)</f>
        <v>CORONA N LT SLEEK 350ML CX 8</v>
      </c>
      <c r="H831" t="s">
        <v>473</v>
      </c>
      <c r="I83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1" s="9" t="str">
        <f>VLOOKUP(Table1[[#This Row],[Área avaliada]],Endereços!A:B,2,0)</f>
        <v>Área Azul</v>
      </c>
      <c r="K831" t="str">
        <f>VLOOKUP(Table1[[#This Row],[Nome do avaliador ]],M:N,2,0)</f>
        <v>A</v>
      </c>
    </row>
    <row r="832" spans="1:11" x14ac:dyDescent="0.3">
      <c r="A832">
        <v>831</v>
      </c>
      <c r="B832" s="1">
        <v>45940.433229166701</v>
      </c>
      <c r="C832" s="1">
        <v>45940.433854166702</v>
      </c>
      <c r="D832" t="s">
        <v>19</v>
      </c>
      <c r="E832" t="s">
        <v>23</v>
      </c>
      <c r="F832" s="2">
        <v>9084</v>
      </c>
      <c r="G832" s="2" t="str">
        <f>VLOOKUP(F832,Produtos!A:B,2,FALSE)</f>
        <v>GUARANA CHP ANTARCT LT350ML SH C/12 NPAL</v>
      </c>
      <c r="H832" t="s">
        <v>473</v>
      </c>
      <c r="I83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2" s="9" t="str">
        <f>VLOOKUP(Table1[[#This Row],[Área avaliada]],Endereços!A:B,2,0)</f>
        <v>Área Azul</v>
      </c>
      <c r="K832" t="str">
        <f>VLOOKUP(Table1[[#This Row],[Nome do avaliador ]],M:N,2,0)</f>
        <v>A</v>
      </c>
    </row>
    <row r="833" spans="1:11" x14ac:dyDescent="0.3">
      <c r="A833">
        <v>832</v>
      </c>
      <c r="B833" s="1">
        <v>45941.265833333302</v>
      </c>
      <c r="C833" s="1">
        <v>45941.266423611101</v>
      </c>
      <c r="D833" t="s">
        <v>19</v>
      </c>
      <c r="E833" t="s">
        <v>23</v>
      </c>
      <c r="F833" s="2">
        <v>19310</v>
      </c>
      <c r="G833" s="2" t="str">
        <f>VLOOKUP(F833,Produtos!A:B,2,FALSE)</f>
        <v>ORIGINAL LATA 350ML CX CARTAO C/12 NPAL</v>
      </c>
      <c r="H833" t="s">
        <v>473</v>
      </c>
      <c r="I83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3" s="9" t="str">
        <f>VLOOKUP(Table1[[#This Row],[Área avaliada]],Endereços!A:B,2,0)</f>
        <v>Área Azul</v>
      </c>
      <c r="K833" t="str">
        <f>VLOOKUP(Table1[[#This Row],[Nome do avaliador ]],M:N,2,0)</f>
        <v>A</v>
      </c>
    </row>
    <row r="834" spans="1:11" x14ac:dyDescent="0.3">
      <c r="A834">
        <v>833</v>
      </c>
      <c r="B834" s="1">
        <v>45941.267592592601</v>
      </c>
      <c r="C834" s="1">
        <v>45941.268564814804</v>
      </c>
      <c r="D834" t="s">
        <v>17</v>
      </c>
      <c r="E834" t="s">
        <v>23</v>
      </c>
      <c r="F834" s="2">
        <v>9320</v>
      </c>
      <c r="G834" s="2" t="str">
        <f>VLOOKUP(F834,Produtos!A:B,2,FALSE)</f>
        <v>BRAHMA CHOPP LT 473ML SH C/12 NPAL</v>
      </c>
      <c r="H834" t="s">
        <v>475</v>
      </c>
      <c r="I83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4" s="9" t="str">
        <f>VLOOKUP(Table1[[#This Row],[Área avaliada]],Endereços!A:B,2,0)</f>
        <v>Área Azul</v>
      </c>
      <c r="K834" t="s">
        <v>510</v>
      </c>
    </row>
    <row r="835" spans="1:11" x14ac:dyDescent="0.3">
      <c r="A835">
        <v>834</v>
      </c>
      <c r="B835" s="1">
        <v>45941.2819675926</v>
      </c>
      <c r="C835" s="1">
        <v>45941.282523148097</v>
      </c>
      <c r="D835" t="s">
        <v>17</v>
      </c>
      <c r="E835" t="s">
        <v>25</v>
      </c>
      <c r="F835" s="2">
        <v>29580</v>
      </c>
      <c r="G835" s="2" t="str">
        <f>VLOOKUP(F835,Produtos!A:B,2,FALSE)</f>
        <v>STELLA ARTOIS PURE GOLD LN 330 SXP SH C4</v>
      </c>
      <c r="H835" t="s">
        <v>475</v>
      </c>
      <c r="I83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5" s="9" t="str">
        <f>VLOOKUP(Table1[[#This Row],[Área avaliada]],Endereços!A:B,2,0)</f>
        <v>Área Azul</v>
      </c>
      <c r="K835" t="s">
        <v>510</v>
      </c>
    </row>
    <row r="836" spans="1:11" x14ac:dyDescent="0.3">
      <c r="A836">
        <v>835</v>
      </c>
      <c r="B836" s="1">
        <v>45941.282002314802</v>
      </c>
      <c r="C836" s="1">
        <v>45941.2825578704</v>
      </c>
      <c r="D836" t="s">
        <v>19</v>
      </c>
      <c r="E836" t="s">
        <v>23</v>
      </c>
      <c r="F836" s="2">
        <v>29580</v>
      </c>
      <c r="G836" s="2" t="str">
        <f>VLOOKUP(F836,Produtos!A:B,2,FALSE)</f>
        <v>STELLA ARTOIS PURE GOLD LN 330 SXP SH C4</v>
      </c>
      <c r="H836" t="s">
        <v>485</v>
      </c>
      <c r="I83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6" s="9" t="str">
        <f>VLOOKUP(Table1[[#This Row],[Área avaliada]],Endereços!A:B,2,0)</f>
        <v>Área Azul</v>
      </c>
      <c r="K836" t="str">
        <f>VLOOKUP(Table1[[#This Row],[Nome do avaliador ]],M:N,2,0)</f>
        <v>A</v>
      </c>
    </row>
    <row r="837" spans="1:11" x14ac:dyDescent="0.3">
      <c r="A837">
        <v>836</v>
      </c>
      <c r="B837" s="1">
        <v>45941.515104166698</v>
      </c>
      <c r="C837" s="1">
        <v>45941.516041666699</v>
      </c>
      <c r="D837" t="s">
        <v>7</v>
      </c>
      <c r="E837" t="s">
        <v>18</v>
      </c>
      <c r="G837" t="e">
        <f>VLOOKUP(F837,Produtos!A:B,2,FALSE)</f>
        <v>#N/A</v>
      </c>
      <c r="H837" t="s">
        <v>480</v>
      </c>
      <c r="I83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7" s="9" t="str">
        <f>VLOOKUP(Table1[[#This Row],[Área avaliada]],Endereços!A:B,2,0)</f>
        <v>Área Vermelho</v>
      </c>
      <c r="K837" t="str">
        <f>VLOOKUP(Table1[[#This Row],[Nome do avaliador ]],M:N,2,0)</f>
        <v>A</v>
      </c>
    </row>
    <row r="838" spans="1:11" x14ac:dyDescent="0.3">
      <c r="A838">
        <v>837</v>
      </c>
      <c r="B838" s="1">
        <v>45943.369398148097</v>
      </c>
      <c r="C838" s="1">
        <v>45943.370092592602</v>
      </c>
      <c r="D838" t="s">
        <v>19</v>
      </c>
      <c r="E838" t="s">
        <v>23</v>
      </c>
      <c r="F838" s="2">
        <v>9071</v>
      </c>
      <c r="G838" s="2" t="str">
        <f>VLOOKUP(F838,Produtos!A:B,2,FALSE)</f>
        <v>CARACU LATA 350ML SH C/12 NPAL</v>
      </c>
      <c r="H838" t="s">
        <v>473</v>
      </c>
      <c r="I83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8" s="9" t="str">
        <f>VLOOKUP(Table1[[#This Row],[Área avaliada]],Endereços!A:B,2,0)</f>
        <v>Área Azul</v>
      </c>
      <c r="K838" t="str">
        <f>VLOOKUP(Table1[[#This Row],[Nome do avaliador ]],M:N,2,0)</f>
        <v>A</v>
      </c>
    </row>
    <row r="839" spans="1:11" x14ac:dyDescent="0.3">
      <c r="A839">
        <v>838</v>
      </c>
      <c r="B839" s="1">
        <v>45943.398125</v>
      </c>
      <c r="C839" s="1">
        <v>45943.398726851803</v>
      </c>
      <c r="D839" t="s">
        <v>19</v>
      </c>
      <c r="E839" t="s">
        <v>23</v>
      </c>
      <c r="F839" s="2">
        <v>9274</v>
      </c>
      <c r="G839" s="2" t="str">
        <f>VLOOKUP(F839,Produtos!A:B,2,FALSE)</f>
        <v>PEPSI ZERO LATA 350ML SH C/12 NPAL</v>
      </c>
      <c r="H839" t="s">
        <v>473</v>
      </c>
      <c r="I83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9" s="9" t="str">
        <f>VLOOKUP(Table1[[#This Row],[Área avaliada]],Endereços!A:B,2,0)</f>
        <v>Área Azul</v>
      </c>
      <c r="K839" t="str">
        <f>VLOOKUP(Table1[[#This Row],[Nome do avaliador ]],M:N,2,0)</f>
        <v>A</v>
      </c>
    </row>
    <row r="840" spans="1:11" x14ac:dyDescent="0.3">
      <c r="A840">
        <v>839</v>
      </c>
      <c r="B840" s="1">
        <v>45943.398449074099</v>
      </c>
      <c r="C840" s="1">
        <v>45943.399004629602</v>
      </c>
      <c r="D840" t="s">
        <v>17</v>
      </c>
      <c r="E840" t="s">
        <v>23</v>
      </c>
      <c r="F840" s="2">
        <v>19310</v>
      </c>
      <c r="G840" s="2" t="str">
        <f>VLOOKUP(F840,Produtos!A:B,2,FALSE)</f>
        <v>ORIGINAL LATA 350ML CX CARTAO C/12 NPAL</v>
      </c>
      <c r="H840" t="s">
        <v>475</v>
      </c>
      <c r="I84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0" s="9" t="str">
        <f>VLOOKUP(Table1[[#This Row],[Área avaliada]],Endereços!A:B,2,0)</f>
        <v>Área Azul</v>
      </c>
      <c r="K840" t="s">
        <v>510</v>
      </c>
    </row>
    <row r="841" spans="1:11" x14ac:dyDescent="0.3">
      <c r="A841">
        <v>840</v>
      </c>
      <c r="B841" s="1">
        <v>45943.399027777799</v>
      </c>
      <c r="C841" s="1">
        <v>45943.399618055599</v>
      </c>
      <c r="D841" t="s">
        <v>17</v>
      </c>
      <c r="E841" t="s">
        <v>23</v>
      </c>
      <c r="F841" s="2">
        <v>9274</v>
      </c>
      <c r="G841" s="2" t="str">
        <f>VLOOKUP(F841,Produtos!A:B,2,FALSE)</f>
        <v>PEPSI ZERO LATA 350ML SH C/12 NPAL</v>
      </c>
      <c r="H841" t="s">
        <v>475</v>
      </c>
      <c r="I84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1" s="9" t="str">
        <f>VLOOKUP(Table1[[#This Row],[Área avaliada]],Endereços!A:B,2,0)</f>
        <v>Área Azul</v>
      </c>
      <c r="K841" t="s">
        <v>510</v>
      </c>
    </row>
    <row r="842" spans="1:11" x14ac:dyDescent="0.3">
      <c r="A842">
        <v>841</v>
      </c>
      <c r="B842" s="1">
        <v>45943.401018518503</v>
      </c>
      <c r="C842" s="1">
        <v>45943.401562500003</v>
      </c>
      <c r="D842" t="s">
        <v>19</v>
      </c>
      <c r="E842" t="s">
        <v>23</v>
      </c>
      <c r="F842" s="2">
        <v>33818</v>
      </c>
      <c r="G842" s="2" t="str">
        <f>VLOOKUP(F842,Produtos!A:B,2,FALSE)</f>
        <v>ORIGINAL LT 350ML SH C/12 NP MULTIPACK</v>
      </c>
      <c r="H842" t="s">
        <v>476</v>
      </c>
      <c r="I84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2" s="9" t="str">
        <f>VLOOKUP(Table1[[#This Row],[Área avaliada]],Endereços!A:B,2,0)</f>
        <v>Área Azul</v>
      </c>
      <c r="K842" t="str">
        <f>VLOOKUP(Table1[[#This Row],[Nome do avaliador ]],M:N,2,0)</f>
        <v>A</v>
      </c>
    </row>
    <row r="843" spans="1:11" x14ac:dyDescent="0.3">
      <c r="A843">
        <v>842</v>
      </c>
      <c r="B843" s="1">
        <v>45943.934583333299</v>
      </c>
      <c r="C843" s="1">
        <v>45943.9352083333</v>
      </c>
      <c r="D843" t="s">
        <v>21</v>
      </c>
      <c r="E843" t="s">
        <v>18</v>
      </c>
      <c r="G843" t="e">
        <f>VLOOKUP(F843,Produtos!A:B,2,FALSE)</f>
        <v>#N/A</v>
      </c>
      <c r="H843" t="s">
        <v>479</v>
      </c>
      <c r="I84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3" s="9" t="str">
        <f>VLOOKUP(Table1[[#This Row],[Área avaliada]],Endereços!A:B,2,0)</f>
        <v>Área Vermelho</v>
      </c>
      <c r="K843" t="str">
        <f>VLOOKUP(Table1[[#This Row],[Nome do avaliador ]],M:N,2,0)</f>
        <v>B</v>
      </c>
    </row>
    <row r="844" spans="1:11" x14ac:dyDescent="0.3">
      <c r="A844">
        <v>843</v>
      </c>
      <c r="B844" s="1">
        <v>45944.365960648101</v>
      </c>
      <c r="C844" s="1">
        <v>45944.366678240702</v>
      </c>
      <c r="D844" t="s">
        <v>19</v>
      </c>
      <c r="E844" t="s">
        <v>23</v>
      </c>
      <c r="F844" s="2">
        <v>8411</v>
      </c>
      <c r="G844" s="2" t="str">
        <f>VLOOKUP(F844,Produtos!A:B,2,FALSE)</f>
        <v>GUARANA CHP ANTARCTICA PET 1,5L SH C/6</v>
      </c>
      <c r="H844" t="s">
        <v>478</v>
      </c>
      <c r="I84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4" s="9" t="str">
        <f>VLOOKUP(Table1[[#This Row],[Área avaliada]],Endereços!A:B,2,0)</f>
        <v>Área Azul</v>
      </c>
      <c r="K844" t="str">
        <f>VLOOKUP(Table1[[#This Row],[Nome do avaliador ]],M:N,2,0)</f>
        <v>A</v>
      </c>
    </row>
    <row r="845" spans="1:11" x14ac:dyDescent="0.3">
      <c r="A845">
        <v>844</v>
      </c>
      <c r="B845" s="1">
        <v>45944.3674537037</v>
      </c>
      <c r="C845" s="1">
        <v>45944.368125000001</v>
      </c>
      <c r="D845" t="s">
        <v>19</v>
      </c>
      <c r="E845" t="s">
        <v>33</v>
      </c>
      <c r="F845" s="2">
        <v>9071</v>
      </c>
      <c r="G845" s="2" t="str">
        <f>VLOOKUP(F845,Produtos!A:B,2,FALSE)</f>
        <v>CARACU LATA 350ML SH C/12 NPAL</v>
      </c>
      <c r="H845" t="s">
        <v>473</v>
      </c>
      <c r="I84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5" s="9" t="str">
        <f>VLOOKUP(Table1[[#This Row],[Área avaliada]],Endereços!A:B,2,0)</f>
        <v>Área Verde</v>
      </c>
      <c r="K845" t="str">
        <f>VLOOKUP(Table1[[#This Row],[Nome do avaliador ]],M:N,2,0)</f>
        <v>A</v>
      </c>
    </row>
    <row r="846" spans="1:11" x14ac:dyDescent="0.3">
      <c r="A846">
        <v>845</v>
      </c>
      <c r="B846" s="1">
        <v>45944.3680902778</v>
      </c>
      <c r="C846" s="1">
        <v>45944.368726851797</v>
      </c>
      <c r="D846" t="s">
        <v>17</v>
      </c>
      <c r="E846" t="s">
        <v>23</v>
      </c>
      <c r="F846" s="2">
        <v>1164</v>
      </c>
      <c r="G846" s="2" t="str">
        <f>VLOOKUP(F846,Produtos!A:B,2,FALSE)</f>
        <v>SUKITA UVA LATA 350ML SH C/12 NPAL</v>
      </c>
      <c r="H846" t="s">
        <v>475</v>
      </c>
      <c r="I84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6" s="9" t="str">
        <f>VLOOKUP(Table1[[#This Row],[Área avaliada]],Endereços!A:B,2,0)</f>
        <v>Área Azul</v>
      </c>
      <c r="K846" t="s">
        <v>510</v>
      </c>
    </row>
    <row r="847" spans="1:11" x14ac:dyDescent="0.3">
      <c r="A847">
        <v>846</v>
      </c>
      <c r="B847" s="1">
        <v>45944.3687615741</v>
      </c>
      <c r="C847" s="1">
        <v>45944.369398148097</v>
      </c>
      <c r="D847" t="s">
        <v>17</v>
      </c>
      <c r="E847" t="s">
        <v>23</v>
      </c>
      <c r="F847" s="2">
        <v>9071</v>
      </c>
      <c r="G847" s="2" t="str">
        <f>VLOOKUP(F847,Produtos!A:B,2,FALSE)</f>
        <v>CARACU LATA 350ML SH C/12 NPAL</v>
      </c>
      <c r="H847" t="s">
        <v>475</v>
      </c>
      <c r="I84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7" s="9" t="str">
        <f>VLOOKUP(Table1[[#This Row],[Área avaliada]],Endereços!A:B,2,0)</f>
        <v>Área Azul</v>
      </c>
      <c r="K847" t="s">
        <v>510</v>
      </c>
    </row>
    <row r="848" spans="1:11" x14ac:dyDescent="0.3">
      <c r="A848">
        <v>847</v>
      </c>
      <c r="B848" s="1">
        <v>45944.369328703702</v>
      </c>
      <c r="C848" s="1">
        <v>45944.369942129597</v>
      </c>
      <c r="D848" t="s">
        <v>19</v>
      </c>
      <c r="E848" t="s">
        <v>23</v>
      </c>
      <c r="F848" s="2">
        <v>9084</v>
      </c>
      <c r="G848" s="2" t="str">
        <f>VLOOKUP(F848,Produtos!A:B,2,FALSE)</f>
        <v>GUARANA CHP ANTARCT LT350ML SH C/12 NPAL</v>
      </c>
      <c r="H848" t="s">
        <v>473</v>
      </c>
      <c r="I84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8" s="9" t="str">
        <f>VLOOKUP(Table1[[#This Row],[Área avaliada]],Endereços!A:B,2,0)</f>
        <v>Área Azul</v>
      </c>
      <c r="K848" t="str">
        <f>VLOOKUP(Table1[[#This Row],[Nome do avaliador ]],M:N,2,0)</f>
        <v>A</v>
      </c>
    </row>
    <row r="849" spans="1:11" x14ac:dyDescent="0.3">
      <c r="A849">
        <v>848</v>
      </c>
      <c r="B849" s="1">
        <v>45944.369965277801</v>
      </c>
      <c r="C849" s="1">
        <v>45944.371226851901</v>
      </c>
      <c r="D849" t="s">
        <v>17</v>
      </c>
      <c r="E849" t="s">
        <v>23</v>
      </c>
      <c r="F849" s="2">
        <v>9072</v>
      </c>
      <c r="G849" s="2" t="str">
        <f>VLOOKUP(F849,Produtos!A:B,2,FALSE)</f>
        <v>BOHEMIA NOVA EMBAL LT 350ML SH C/12 NPAL</v>
      </c>
      <c r="H849" t="s">
        <v>475</v>
      </c>
      <c r="I84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9" s="9" t="str">
        <f>VLOOKUP(Table1[[#This Row],[Área avaliada]],Endereços!A:B,2,0)</f>
        <v>Área Azul</v>
      </c>
      <c r="K849" t="s">
        <v>510</v>
      </c>
    </row>
    <row r="850" spans="1:11" x14ac:dyDescent="0.3">
      <c r="A850">
        <v>849</v>
      </c>
      <c r="B850" s="1">
        <v>45944.373668981498</v>
      </c>
      <c r="C850" s="1">
        <v>45944.374398148102</v>
      </c>
      <c r="D850" t="s">
        <v>19</v>
      </c>
      <c r="E850" t="s">
        <v>20</v>
      </c>
      <c r="F850" s="2">
        <v>9067</v>
      </c>
      <c r="G850" s="2" t="str">
        <f>VLOOKUP(F850,Produtos!A:B,2,FALSE)</f>
        <v>ANTARCTICA PILSEN LATA 350ML SH C/12 NPA</v>
      </c>
      <c r="H850" t="s">
        <v>473</v>
      </c>
      <c r="I85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0" s="9" t="str">
        <f>VLOOKUP(Table1[[#This Row],[Área avaliada]],Endereços!A:B,2,0)</f>
        <v>Área Azul</v>
      </c>
      <c r="K850" t="str">
        <f>VLOOKUP(Table1[[#This Row],[Nome do avaliador ]],M:N,2,0)</f>
        <v>A</v>
      </c>
    </row>
    <row r="851" spans="1:11" x14ac:dyDescent="0.3">
      <c r="A851">
        <v>850</v>
      </c>
      <c r="B851" s="1">
        <v>45944.374837962998</v>
      </c>
      <c r="C851" s="1">
        <v>45944.375347222202</v>
      </c>
      <c r="D851" t="s">
        <v>17</v>
      </c>
      <c r="E851" t="s">
        <v>20</v>
      </c>
      <c r="F851" s="2">
        <v>35113</v>
      </c>
      <c r="G851" s="2" t="e">
        <f>VLOOKUP(F851,Produtos!A:B,2,FALSE)</f>
        <v>#N/A</v>
      </c>
      <c r="H851" t="s">
        <v>475</v>
      </c>
      <c r="I85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1" s="9" t="str">
        <f>VLOOKUP(Table1[[#This Row],[Área avaliada]],Endereços!A:B,2,0)</f>
        <v>Área Azul</v>
      </c>
      <c r="K851" t="s">
        <v>510</v>
      </c>
    </row>
    <row r="852" spans="1:11" x14ac:dyDescent="0.3">
      <c r="A852">
        <v>851</v>
      </c>
      <c r="B852" s="1">
        <v>45944.375057870398</v>
      </c>
      <c r="C852" s="1">
        <v>45944.375532407401</v>
      </c>
      <c r="D852" t="s">
        <v>19</v>
      </c>
      <c r="E852" t="s">
        <v>20</v>
      </c>
      <c r="F852" s="2">
        <v>12948</v>
      </c>
      <c r="G852" s="2" t="str">
        <f>VLOOKUP(F852,Produtos!A:B,2,FALSE)</f>
        <v>BRAHMA CHOPP ZERO LATA 350 SH CX C12 NPA</v>
      </c>
      <c r="H852" t="s">
        <v>473</v>
      </c>
      <c r="I85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2" s="9" t="str">
        <f>VLOOKUP(Table1[[#This Row],[Área avaliada]],Endereços!A:B,2,0)</f>
        <v>Área Azul</v>
      </c>
      <c r="K852" t="str">
        <f>VLOOKUP(Table1[[#This Row],[Nome do avaliador ]],M:N,2,0)</f>
        <v>A</v>
      </c>
    </row>
    <row r="853" spans="1:11" x14ac:dyDescent="0.3">
      <c r="A853">
        <v>852</v>
      </c>
      <c r="B853" s="1">
        <v>45944.377199074101</v>
      </c>
      <c r="C853" s="1">
        <v>45944.377719907403</v>
      </c>
      <c r="D853" t="s">
        <v>19</v>
      </c>
      <c r="E853" t="s">
        <v>20</v>
      </c>
      <c r="F853" s="2">
        <v>9069</v>
      </c>
      <c r="G853" s="2" t="str">
        <f>VLOOKUP(F853,Produtos!A:B,2,FALSE)</f>
        <v>BRAHMA CHOPP LATA 350ML SH C/12 NPAL</v>
      </c>
      <c r="H853" t="s">
        <v>473</v>
      </c>
      <c r="I85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3" s="9" t="str">
        <f>VLOOKUP(Table1[[#This Row],[Área avaliada]],Endereços!A:B,2,0)</f>
        <v>Área Azul</v>
      </c>
      <c r="K853" t="str">
        <f>VLOOKUP(Table1[[#This Row],[Nome do avaliador ]],M:N,2,0)</f>
        <v>A</v>
      </c>
    </row>
    <row r="854" spans="1:11" x14ac:dyDescent="0.3">
      <c r="A854">
        <v>853</v>
      </c>
      <c r="B854" s="1">
        <v>45944.380462963003</v>
      </c>
      <c r="C854" s="1">
        <v>45944.381006944401</v>
      </c>
      <c r="D854" t="s">
        <v>17</v>
      </c>
      <c r="E854" t="s">
        <v>23</v>
      </c>
      <c r="F854" s="2">
        <v>9084</v>
      </c>
      <c r="G854" s="2" t="str">
        <f>VLOOKUP(F854,Produtos!A:B,2,FALSE)</f>
        <v>GUARANA CHP ANTARCT LT350ML SH C/12 NPAL</v>
      </c>
      <c r="H854" t="s">
        <v>475</v>
      </c>
      <c r="I85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4" s="9" t="str">
        <f>VLOOKUP(Table1[[#This Row],[Área avaliada]],Endereços!A:B,2,0)</f>
        <v>Área Azul</v>
      </c>
      <c r="K854" t="s">
        <v>510</v>
      </c>
    </row>
    <row r="855" spans="1:11" x14ac:dyDescent="0.3">
      <c r="A855">
        <v>854</v>
      </c>
      <c r="B855" s="1">
        <v>45944.381585648101</v>
      </c>
      <c r="C855" s="1">
        <v>45944.382175925901</v>
      </c>
      <c r="D855" t="s">
        <v>19</v>
      </c>
      <c r="E855" t="s">
        <v>23</v>
      </c>
      <c r="F855" s="2">
        <v>9092</v>
      </c>
      <c r="G855" s="2" t="str">
        <f>VLOOKUP(F855,Produtos!A:B,2,FALSE)</f>
        <v>TONICA ANTARCTICA DIET LT350MLSHC/12 PAL</v>
      </c>
      <c r="H855" t="s">
        <v>473</v>
      </c>
      <c r="I85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5" s="9" t="str">
        <f>VLOOKUP(Table1[[#This Row],[Área avaliada]],Endereços!A:B,2,0)</f>
        <v>Área Azul</v>
      </c>
      <c r="K855" t="str">
        <f>VLOOKUP(Table1[[#This Row],[Nome do avaliador ]],M:N,2,0)</f>
        <v>A</v>
      </c>
    </row>
    <row r="856" spans="1:11" x14ac:dyDescent="0.3">
      <c r="A856">
        <v>855</v>
      </c>
      <c r="B856" s="1">
        <v>45945.324780092596</v>
      </c>
      <c r="C856" s="1">
        <v>45945.325231481504</v>
      </c>
      <c r="D856" t="s">
        <v>19</v>
      </c>
      <c r="E856" t="s">
        <v>23</v>
      </c>
      <c r="F856" s="2">
        <v>1164</v>
      </c>
      <c r="G856" s="2" t="str">
        <f>VLOOKUP(F856,Produtos!A:B,2,FALSE)</f>
        <v>SUKITA UVA LATA 350ML SH C/12 NPAL</v>
      </c>
      <c r="H856" t="s">
        <v>473</v>
      </c>
      <c r="I85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6" s="9" t="str">
        <f>VLOOKUP(Table1[[#This Row],[Área avaliada]],Endereços!A:B,2,0)</f>
        <v>Área Azul</v>
      </c>
      <c r="K856" t="str">
        <f>VLOOKUP(Table1[[#This Row],[Nome do avaliador ]],M:N,2,0)</f>
        <v>A</v>
      </c>
    </row>
    <row r="857" spans="1:11" x14ac:dyDescent="0.3">
      <c r="A857">
        <v>856</v>
      </c>
      <c r="B857" s="1">
        <v>45945.324780092596</v>
      </c>
      <c r="C857" s="1">
        <v>45945.3253819444</v>
      </c>
      <c r="D857" t="s">
        <v>17</v>
      </c>
      <c r="E857" t="s">
        <v>23</v>
      </c>
      <c r="F857" s="2">
        <v>30942</v>
      </c>
      <c r="G857" s="2" t="str">
        <f>VLOOKUP(F857,Produtos!A:B,2,FALSE)</f>
        <v>SPATEN N LONG NECK 330ML SIX-PACK SH C4</v>
      </c>
      <c r="H857" t="s">
        <v>475</v>
      </c>
      <c r="I85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7" s="9" t="str">
        <f>VLOOKUP(Table1[[#This Row],[Área avaliada]],Endereços!A:B,2,0)</f>
        <v>Área Azul</v>
      </c>
      <c r="K857" t="s">
        <v>510</v>
      </c>
    </row>
    <row r="858" spans="1:11" x14ac:dyDescent="0.3">
      <c r="A858">
        <v>857</v>
      </c>
      <c r="B858" s="1">
        <v>45945.326087963003</v>
      </c>
      <c r="C858" s="1">
        <v>45945.326724537001</v>
      </c>
      <c r="D858" t="s">
        <v>17</v>
      </c>
      <c r="E858" t="s">
        <v>23</v>
      </c>
      <c r="F858" s="2">
        <v>22180</v>
      </c>
      <c r="G858" s="2" t="str">
        <f>VLOOKUP(F858,Produtos!A:B,2,FALSE)</f>
        <v>BUDWEISER ZERO LN 330ML SIX-PACK SH C/4</v>
      </c>
      <c r="H858" t="s">
        <v>475</v>
      </c>
      <c r="I85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8" s="9" t="str">
        <f>VLOOKUP(Table1[[#This Row],[Área avaliada]],Endereços!A:B,2,0)</f>
        <v>Área Azul</v>
      </c>
      <c r="K858" t="s">
        <v>510</v>
      </c>
    </row>
    <row r="859" spans="1:11" x14ac:dyDescent="0.3">
      <c r="A859">
        <v>858</v>
      </c>
      <c r="B859" s="1">
        <v>45945.328136574099</v>
      </c>
      <c r="C859" s="1">
        <v>45945.329039351796</v>
      </c>
      <c r="D859" t="s">
        <v>19</v>
      </c>
      <c r="E859" t="s">
        <v>23</v>
      </c>
      <c r="F859" s="2">
        <v>9069</v>
      </c>
      <c r="G859" s="2" t="str">
        <f>VLOOKUP(F859,Produtos!A:B,2,FALSE)</f>
        <v>BRAHMA CHOPP LATA 350ML SH C/12 NPAL</v>
      </c>
      <c r="H859" t="s">
        <v>473</v>
      </c>
      <c r="I85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9" s="9" t="str">
        <f>VLOOKUP(Table1[[#This Row],[Área avaliada]],Endereços!A:B,2,0)</f>
        <v>Área Azul</v>
      </c>
      <c r="K859" t="str">
        <f>VLOOKUP(Table1[[#This Row],[Nome do avaliador ]],M:N,2,0)</f>
        <v>A</v>
      </c>
    </row>
    <row r="860" spans="1:11" x14ac:dyDescent="0.3">
      <c r="A860">
        <v>859</v>
      </c>
      <c r="B860" s="1">
        <v>45945.331307870401</v>
      </c>
      <c r="C860" s="1">
        <v>45945.332037036998</v>
      </c>
      <c r="D860" t="s">
        <v>19</v>
      </c>
      <c r="E860" t="s">
        <v>20</v>
      </c>
      <c r="F860" s="2">
        <v>9067</v>
      </c>
      <c r="G860" s="2" t="str">
        <f>VLOOKUP(F860,Produtos!A:B,2,FALSE)</f>
        <v>ANTARCTICA PILSEN LATA 350ML SH C/12 NPA</v>
      </c>
      <c r="H860" t="s">
        <v>473</v>
      </c>
      <c r="I86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0" s="9" t="str">
        <f>VLOOKUP(Table1[[#This Row],[Área avaliada]],Endereços!A:B,2,0)</f>
        <v>Área Azul</v>
      </c>
      <c r="K860" t="str">
        <f>VLOOKUP(Table1[[#This Row],[Nome do avaliador ]],M:N,2,0)</f>
        <v>A</v>
      </c>
    </row>
    <row r="861" spans="1:11" x14ac:dyDescent="0.3">
      <c r="A861">
        <v>860</v>
      </c>
      <c r="B861" s="1">
        <v>45945.331990740699</v>
      </c>
      <c r="C861" s="1">
        <v>45945.332731481503</v>
      </c>
      <c r="D861" t="s">
        <v>17</v>
      </c>
      <c r="E861" t="s">
        <v>33</v>
      </c>
      <c r="F861" s="2">
        <v>21020</v>
      </c>
      <c r="G861" s="2" t="str">
        <f>VLOOKUP(F861,Produtos!A:B,2,FALSE)</f>
        <v>BUDWEISER LT SLEEK 350ML CX CART C12</v>
      </c>
      <c r="H861" t="s">
        <v>475</v>
      </c>
      <c r="I86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1" s="9" t="str">
        <f>VLOOKUP(Table1[[#This Row],[Área avaliada]],Endereços!A:B,2,0)</f>
        <v>Área Verde</v>
      </c>
      <c r="K861" t="s">
        <v>510</v>
      </c>
    </row>
    <row r="862" spans="1:11" x14ac:dyDescent="0.3">
      <c r="A862">
        <v>861</v>
      </c>
      <c r="B862" s="1">
        <v>45946.384421296301</v>
      </c>
      <c r="C862" s="1">
        <v>45946.385127314803</v>
      </c>
      <c r="D862" t="s">
        <v>17</v>
      </c>
      <c r="E862" t="s">
        <v>23</v>
      </c>
      <c r="F862" s="2">
        <v>35320</v>
      </c>
      <c r="G862" s="2" t="e">
        <f>VLOOKUP(F862,Produtos!A:B,2,FALSE)</f>
        <v>#N/A</v>
      </c>
      <c r="H862" t="s">
        <v>473</v>
      </c>
      <c r="I86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2" s="9" t="str">
        <f>VLOOKUP(Table1[[#This Row],[Área avaliada]],Endereços!A:B,2,0)</f>
        <v>Área Azul</v>
      </c>
      <c r="K862" t="s">
        <v>510</v>
      </c>
    </row>
    <row r="863" spans="1:11" x14ac:dyDescent="0.3">
      <c r="A863">
        <v>862</v>
      </c>
      <c r="B863" s="1">
        <v>45946.385324074101</v>
      </c>
      <c r="C863" s="1">
        <v>45946.385879629597</v>
      </c>
      <c r="D863" t="s">
        <v>19</v>
      </c>
      <c r="E863" t="s">
        <v>23</v>
      </c>
      <c r="F863" s="2">
        <v>17797</v>
      </c>
      <c r="G863" s="2" t="str">
        <f>VLOOKUP(F863,Produtos!A:B,2,FALSE)</f>
        <v>BRAHMA CHOPP LATA 350ML SH 18 MULTIPACK</v>
      </c>
      <c r="H863" t="s">
        <v>473</v>
      </c>
      <c r="I86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3" s="9" t="str">
        <f>VLOOKUP(Table1[[#This Row],[Área avaliada]],Endereços!A:B,2,0)</f>
        <v>Área Azul</v>
      </c>
      <c r="K863" t="str">
        <f>VLOOKUP(Table1[[#This Row],[Nome do avaliador ]],M:N,2,0)</f>
        <v>A</v>
      </c>
    </row>
    <row r="864" spans="1:11" x14ac:dyDescent="0.3">
      <c r="A864">
        <v>863</v>
      </c>
      <c r="B864" s="1">
        <v>45946.386215277802</v>
      </c>
      <c r="C864" s="1">
        <v>45946.386712963002</v>
      </c>
      <c r="D864" t="s">
        <v>19</v>
      </c>
      <c r="E864" t="s">
        <v>23</v>
      </c>
      <c r="F864" s="2">
        <v>14135</v>
      </c>
      <c r="G864" s="2" t="str">
        <f>VLOOKUP(F864,Produtos!A:B,2,FALSE)</f>
        <v>BUDWEISER LT 473ML SIX-PACK SH C/2 NPAL</v>
      </c>
      <c r="H864" t="s">
        <v>473</v>
      </c>
      <c r="I86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4" s="9" t="str">
        <f>VLOOKUP(Table1[[#This Row],[Área avaliada]],Endereços!A:B,2,0)</f>
        <v>Área Azul</v>
      </c>
      <c r="K864" t="str">
        <f>VLOOKUP(Table1[[#This Row],[Nome do avaliador ]],M:N,2,0)</f>
        <v>A</v>
      </c>
    </row>
    <row r="865" spans="1:11" x14ac:dyDescent="0.3">
      <c r="A865">
        <v>864</v>
      </c>
      <c r="B865" s="1">
        <v>45946.387858796297</v>
      </c>
      <c r="C865" s="1">
        <v>45946.388599537</v>
      </c>
      <c r="D865" t="s">
        <v>19</v>
      </c>
      <c r="E865" t="s">
        <v>23</v>
      </c>
      <c r="F865" s="2">
        <v>9085</v>
      </c>
      <c r="G865" s="2" t="str">
        <f>VLOOKUP(F865,Produtos!A:B,2,FALSE)</f>
        <v>GUARANA CHP ANTARCT DIET LT350ML SHC/12</v>
      </c>
      <c r="H865" t="s">
        <v>473</v>
      </c>
      <c r="I86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5" s="9" t="str">
        <f>VLOOKUP(Table1[[#This Row],[Área avaliada]],Endereços!A:B,2,0)</f>
        <v>Área Azul</v>
      </c>
      <c r="K865" t="str">
        <f>VLOOKUP(Table1[[#This Row],[Nome do avaliador ]],M:N,2,0)</f>
        <v>A</v>
      </c>
    </row>
    <row r="866" spans="1:11" x14ac:dyDescent="0.3">
      <c r="A866">
        <v>865</v>
      </c>
      <c r="B866" s="1">
        <v>45946.390023148102</v>
      </c>
      <c r="C866" s="1">
        <v>45946.3906712963</v>
      </c>
      <c r="D866" t="s">
        <v>19</v>
      </c>
      <c r="E866" t="s">
        <v>23</v>
      </c>
      <c r="F866" s="2">
        <v>371</v>
      </c>
      <c r="G866" s="2" t="str">
        <f>VLOOKUP(F866,Produtos!A:B,2,FALSE)</f>
        <v>MALZBIER BRAHMA LN355ML SIX PAC BAND C/4</v>
      </c>
      <c r="H866" t="s">
        <v>485</v>
      </c>
      <c r="I86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6" s="9" t="str">
        <f>VLOOKUP(Table1[[#This Row],[Área avaliada]],Endereços!A:B,2,0)</f>
        <v>Área Azul</v>
      </c>
      <c r="K866" t="str">
        <f>VLOOKUP(Table1[[#This Row],[Nome do avaliador ]],M:N,2,0)</f>
        <v>A</v>
      </c>
    </row>
    <row r="867" spans="1:11" x14ac:dyDescent="0.3">
      <c r="A867">
        <v>866</v>
      </c>
      <c r="B867" s="1">
        <v>45947.372476851902</v>
      </c>
      <c r="C867" s="1">
        <v>45947.373275462996</v>
      </c>
      <c r="D867" t="s">
        <v>17</v>
      </c>
      <c r="E867" t="s">
        <v>23</v>
      </c>
      <c r="F867" s="2">
        <v>29580</v>
      </c>
      <c r="G867" s="2" t="str">
        <f>VLOOKUP(F867,Produtos!A:B,2,FALSE)</f>
        <v>STELLA ARTOIS PURE GOLD LN 330 SXP SH C4</v>
      </c>
      <c r="H867" t="s">
        <v>475</v>
      </c>
      <c r="I86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7" s="9" t="str">
        <f>VLOOKUP(Table1[[#This Row],[Área avaliada]],Endereços!A:B,2,0)</f>
        <v>Área Azul</v>
      </c>
      <c r="K867" t="s">
        <v>510</v>
      </c>
    </row>
    <row r="868" spans="1:11" x14ac:dyDescent="0.3">
      <c r="A868">
        <v>867</v>
      </c>
      <c r="B868" s="1">
        <v>45947.374398148102</v>
      </c>
      <c r="C868" s="1">
        <v>45947.374872685199</v>
      </c>
      <c r="D868" t="s">
        <v>19</v>
      </c>
      <c r="E868" t="s">
        <v>23</v>
      </c>
      <c r="F868" s="2">
        <v>19310</v>
      </c>
      <c r="G868" s="2" t="str">
        <f>VLOOKUP(F868,Produtos!A:B,2,FALSE)</f>
        <v>ORIGINAL LATA 350ML CX CARTAO C/12 NPAL</v>
      </c>
      <c r="H868" t="s">
        <v>473</v>
      </c>
      <c r="I86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8" s="9" t="str">
        <f>VLOOKUP(Table1[[#This Row],[Área avaliada]],Endereços!A:B,2,0)</f>
        <v>Área Azul</v>
      </c>
      <c r="K868" t="str">
        <f>VLOOKUP(Table1[[#This Row],[Nome do avaliador ]],M:N,2,0)</f>
        <v>A</v>
      </c>
    </row>
    <row r="869" spans="1:11" x14ac:dyDescent="0.3">
      <c r="A869">
        <v>868</v>
      </c>
      <c r="B869" s="1">
        <v>45947.375937500001</v>
      </c>
      <c r="C869" s="1">
        <v>45947.376643518503</v>
      </c>
      <c r="D869" t="s">
        <v>19</v>
      </c>
      <c r="E869" t="s">
        <v>25</v>
      </c>
      <c r="F869" s="2">
        <v>14135</v>
      </c>
      <c r="G869" s="2" t="str">
        <f>VLOOKUP(F869,Produtos!A:B,2,FALSE)</f>
        <v>BUDWEISER LT 473ML SIX-PACK SH C/2 NPAL</v>
      </c>
      <c r="H869" t="s">
        <v>473</v>
      </c>
      <c r="I86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9" s="9" t="str">
        <f>VLOOKUP(Table1[[#This Row],[Área avaliada]],Endereços!A:B,2,0)</f>
        <v>Área Azul</v>
      </c>
      <c r="K869" t="str">
        <f>VLOOKUP(Table1[[#This Row],[Nome do avaliador ]],M:N,2,0)</f>
        <v>A</v>
      </c>
    </row>
    <row r="870" spans="1:11" x14ac:dyDescent="0.3">
      <c r="A870">
        <v>869</v>
      </c>
      <c r="B870" s="1">
        <v>45947.378229166701</v>
      </c>
      <c r="C870" s="1">
        <v>45947.379062499997</v>
      </c>
      <c r="D870" t="s">
        <v>17</v>
      </c>
      <c r="E870" t="s">
        <v>23</v>
      </c>
      <c r="F870" s="2">
        <v>25837</v>
      </c>
      <c r="G870" s="2" t="str">
        <f>VLOOKUP(F870,Produtos!A:B,2,FALSE)</f>
        <v>SPATEN LT 473ML CX CARTAO C/12</v>
      </c>
      <c r="H870" t="s">
        <v>475</v>
      </c>
      <c r="I87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0" s="9" t="str">
        <f>VLOOKUP(Table1[[#This Row],[Área avaliada]],Endereços!A:B,2,0)</f>
        <v>Área Azul</v>
      </c>
      <c r="K870" t="s">
        <v>510</v>
      </c>
    </row>
    <row r="871" spans="1:11" x14ac:dyDescent="0.3">
      <c r="A871">
        <v>870</v>
      </c>
      <c r="B871" s="1">
        <v>45947.380601851903</v>
      </c>
      <c r="C871" s="1">
        <v>45947.381307870397</v>
      </c>
      <c r="D871" t="s">
        <v>19</v>
      </c>
      <c r="E871" t="s">
        <v>25</v>
      </c>
      <c r="F871" s="2">
        <v>9069</v>
      </c>
      <c r="G871" s="2" t="str">
        <f>VLOOKUP(F871,Produtos!A:B,2,FALSE)</f>
        <v>BRAHMA CHOPP LATA 350ML SH C/12 NPAL</v>
      </c>
      <c r="H871" t="s">
        <v>473</v>
      </c>
      <c r="I87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1" s="9" t="str">
        <f>VLOOKUP(Table1[[#This Row],[Área avaliada]],Endereços!A:B,2,0)</f>
        <v>Área Azul</v>
      </c>
      <c r="K871" t="str">
        <f>VLOOKUP(Table1[[#This Row],[Nome do avaliador ]],M:N,2,0)</f>
        <v>A</v>
      </c>
    </row>
    <row r="872" spans="1:11" x14ac:dyDescent="0.3">
      <c r="A872">
        <v>871</v>
      </c>
      <c r="B872" s="1">
        <v>45947.406122685199</v>
      </c>
      <c r="C872" s="1">
        <v>45947.4066087963</v>
      </c>
      <c r="D872" t="s">
        <v>19</v>
      </c>
      <c r="E872" t="s">
        <v>23</v>
      </c>
      <c r="F872" s="2">
        <v>18341</v>
      </c>
      <c r="G872" s="2" t="str">
        <f>VLOOKUP(F872,Produtos!A:B,2,FALSE)</f>
        <v>PEPSI COLA PET 3000 ML C/04 SH LISO.</v>
      </c>
      <c r="H872" t="s">
        <v>473</v>
      </c>
      <c r="I87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2" s="9" t="str">
        <f>VLOOKUP(Table1[[#This Row],[Área avaliada]],Endereços!A:B,2,0)</f>
        <v>Área Azul</v>
      </c>
      <c r="K872" t="str">
        <f>VLOOKUP(Table1[[#This Row],[Nome do avaliador ]],M:N,2,0)</f>
        <v>A</v>
      </c>
    </row>
    <row r="873" spans="1:11" x14ac:dyDescent="0.3">
      <c r="A873">
        <v>872</v>
      </c>
      <c r="B873" s="1">
        <v>45948.537777777798</v>
      </c>
      <c r="C873" s="1">
        <v>45948.5385185185</v>
      </c>
      <c r="D873" t="s">
        <v>19</v>
      </c>
      <c r="E873" t="s">
        <v>20</v>
      </c>
      <c r="F873" s="2">
        <v>12948</v>
      </c>
      <c r="G873" s="2" t="str">
        <f>VLOOKUP(F873,Produtos!A:B,2,FALSE)</f>
        <v>BRAHMA CHOPP ZERO LATA 350 SH CX C12 NPA</v>
      </c>
      <c r="H873" t="s">
        <v>473</v>
      </c>
      <c r="I87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3" s="9" t="str">
        <f>VLOOKUP(Table1[[#This Row],[Área avaliada]],Endereços!A:B,2,0)</f>
        <v>Área Azul</v>
      </c>
      <c r="K873" t="str">
        <f>VLOOKUP(Table1[[#This Row],[Nome do avaliador ]],M:N,2,0)</f>
        <v>A</v>
      </c>
    </row>
    <row r="874" spans="1:11" x14ac:dyDescent="0.3">
      <c r="A874">
        <v>873</v>
      </c>
      <c r="B874" s="1">
        <v>45948.539571759298</v>
      </c>
      <c r="C874" s="1">
        <v>45948.540358796301</v>
      </c>
      <c r="D874" t="s">
        <v>19</v>
      </c>
      <c r="E874" t="s">
        <v>23</v>
      </c>
      <c r="F874" s="2">
        <v>34263</v>
      </c>
      <c r="G874" s="2" t="str">
        <f>VLOOKUP(F874,Produtos!A:B,2,FALSE)</f>
        <v>CORONA CERO SUN N LT SL 350ML C8 CX CART</v>
      </c>
      <c r="H874" t="s">
        <v>473</v>
      </c>
      <c r="I87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4" s="9" t="str">
        <f>VLOOKUP(Table1[[#This Row],[Área avaliada]],Endereços!A:B,2,0)</f>
        <v>Área Azul</v>
      </c>
      <c r="K874" t="str">
        <f>VLOOKUP(Table1[[#This Row],[Nome do avaliador ]],M:N,2,0)</f>
        <v>A</v>
      </c>
    </row>
    <row r="875" spans="1:11" x14ac:dyDescent="0.3">
      <c r="A875">
        <v>874</v>
      </c>
      <c r="B875" s="1">
        <v>45948.540833333303</v>
      </c>
      <c r="C875" s="1">
        <v>45948.541620370401</v>
      </c>
      <c r="D875" t="s">
        <v>19</v>
      </c>
      <c r="E875" t="s">
        <v>23</v>
      </c>
      <c r="F875" s="2">
        <v>9085</v>
      </c>
      <c r="G875" s="2" t="str">
        <f>VLOOKUP(F875,Produtos!A:B,2,FALSE)</f>
        <v>GUARANA CHP ANTARCT DIET LT350ML SHC/12</v>
      </c>
      <c r="H875" t="s">
        <v>473</v>
      </c>
      <c r="I87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5" s="9" t="str">
        <f>VLOOKUP(Table1[[#This Row],[Área avaliada]],Endereços!A:B,2,0)</f>
        <v>Área Azul</v>
      </c>
      <c r="K875" t="str">
        <f>VLOOKUP(Table1[[#This Row],[Nome do avaliador ]],M:N,2,0)</f>
        <v>A</v>
      </c>
    </row>
    <row r="876" spans="1:11" x14ac:dyDescent="0.3">
      <c r="A876">
        <v>875</v>
      </c>
      <c r="B876" s="1">
        <v>45948.542916666702</v>
      </c>
      <c r="C876" s="1">
        <v>45948.543761574103</v>
      </c>
      <c r="D876" t="s">
        <v>19</v>
      </c>
      <c r="E876" t="s">
        <v>23</v>
      </c>
      <c r="F876" s="2">
        <v>33734</v>
      </c>
      <c r="G876" s="2" t="str">
        <f>VLOOKUP(F876,Produtos!A:B,2,FALSE)</f>
        <v>BEATS RED MIX LT 269ML SH C/8</v>
      </c>
      <c r="H876" t="s">
        <v>473</v>
      </c>
      <c r="I87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6" s="9" t="str">
        <f>VLOOKUP(Table1[[#This Row],[Área avaliada]],Endereços!A:B,2,0)</f>
        <v>Área Azul</v>
      </c>
      <c r="K876" t="str">
        <f>VLOOKUP(Table1[[#This Row],[Nome do avaliador ]],M:N,2,0)</f>
        <v>A</v>
      </c>
    </row>
    <row r="877" spans="1:11" x14ac:dyDescent="0.3">
      <c r="A877">
        <v>876</v>
      </c>
      <c r="B877" s="1">
        <v>45950.345034722202</v>
      </c>
      <c r="C877" s="1">
        <v>45950.345902777801</v>
      </c>
      <c r="D877" t="s">
        <v>19</v>
      </c>
      <c r="E877" t="s">
        <v>23</v>
      </c>
      <c r="F877" s="2">
        <v>9071</v>
      </c>
      <c r="G877" s="2" t="str">
        <f>VLOOKUP(F877,Produtos!A:B,2,FALSE)</f>
        <v>CARACU LATA 350ML SH C/12 NPAL</v>
      </c>
      <c r="H877" t="s">
        <v>473</v>
      </c>
      <c r="I87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7" s="9" t="str">
        <f>VLOOKUP(Table1[[#This Row],[Área avaliada]],Endereços!A:B,2,0)</f>
        <v>Área Azul</v>
      </c>
      <c r="K877" t="str">
        <f>VLOOKUP(Table1[[#This Row],[Nome do avaliador ]],M:N,2,0)</f>
        <v>A</v>
      </c>
    </row>
    <row r="878" spans="1:11" x14ac:dyDescent="0.3">
      <c r="A878">
        <v>877</v>
      </c>
      <c r="B878" s="1">
        <v>45950.367430555598</v>
      </c>
      <c r="C878" s="1">
        <v>45950.368078703701</v>
      </c>
      <c r="D878" t="s">
        <v>17</v>
      </c>
      <c r="E878" t="s">
        <v>25</v>
      </c>
      <c r="F878" s="2">
        <v>29580</v>
      </c>
      <c r="G878" s="2" t="str">
        <f>VLOOKUP(F878,Produtos!A:B,2,FALSE)</f>
        <v>STELLA ARTOIS PURE GOLD LN 330 SXP SH C4</v>
      </c>
      <c r="H878" t="s">
        <v>475</v>
      </c>
      <c r="I87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8" s="9" t="str">
        <f>VLOOKUP(Table1[[#This Row],[Área avaliada]],Endereços!A:B,2,0)</f>
        <v>Área Azul</v>
      </c>
      <c r="K878" t="s">
        <v>510</v>
      </c>
    </row>
    <row r="879" spans="1:11" x14ac:dyDescent="0.3">
      <c r="A879">
        <v>878</v>
      </c>
      <c r="B879" s="1">
        <v>45950.3695717593</v>
      </c>
      <c r="C879" s="1">
        <v>45950.370428240698</v>
      </c>
      <c r="D879" t="s">
        <v>17</v>
      </c>
      <c r="E879" t="s">
        <v>33</v>
      </c>
      <c r="F879" s="2">
        <v>17808</v>
      </c>
      <c r="G879" s="2" t="str">
        <f>VLOOKUP(F879,Produtos!A:B,2,FALSE)</f>
        <v>BUDWEISER OW 330ML CX C 24</v>
      </c>
      <c r="H879" t="s">
        <v>475</v>
      </c>
      <c r="I87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9" s="9" t="str">
        <f>VLOOKUP(Table1[[#This Row],[Área avaliada]],Endereços!A:B,2,0)</f>
        <v>Área Verde</v>
      </c>
      <c r="K879" t="s">
        <v>510</v>
      </c>
    </row>
    <row r="880" spans="1:11" x14ac:dyDescent="0.3">
      <c r="A880">
        <v>879</v>
      </c>
      <c r="B880" s="1">
        <v>45950.371030092603</v>
      </c>
      <c r="C880" s="1">
        <v>45950.371655092596</v>
      </c>
      <c r="D880" t="s">
        <v>19</v>
      </c>
      <c r="E880" t="s">
        <v>25</v>
      </c>
      <c r="F880" s="2">
        <v>32500</v>
      </c>
      <c r="G880" s="2" t="str">
        <f>VLOOKUP(F880,Produtos!A:B,2,FALSE)</f>
        <v>STELLA ART PUR GOLD LT SL 350ML C8 CX CT</v>
      </c>
      <c r="H880" t="s">
        <v>473</v>
      </c>
      <c r="I88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0" s="9" t="str">
        <f>VLOOKUP(Table1[[#This Row],[Área avaliada]],Endereços!A:B,2,0)</f>
        <v>Área Azul</v>
      </c>
      <c r="K880" t="str">
        <f>VLOOKUP(Table1[[#This Row],[Nome do avaliador ]],M:N,2,0)</f>
        <v>A</v>
      </c>
    </row>
    <row r="881" spans="1:11" x14ac:dyDescent="0.3">
      <c r="A881">
        <v>880</v>
      </c>
      <c r="B881" s="1">
        <v>45950.371168981503</v>
      </c>
      <c r="C881" s="1">
        <v>45950.371759259302</v>
      </c>
      <c r="D881" t="s">
        <v>17</v>
      </c>
      <c r="E881" t="s">
        <v>23</v>
      </c>
      <c r="F881" s="2">
        <v>9085</v>
      </c>
      <c r="G881" s="2" t="str">
        <f>VLOOKUP(F881,Produtos!A:B,2,FALSE)</f>
        <v>GUARANA CHP ANTARCT DIET LT350ML SHC/12</v>
      </c>
      <c r="H881" t="s">
        <v>475</v>
      </c>
      <c r="I88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1" s="9" t="str">
        <f>VLOOKUP(Table1[[#This Row],[Área avaliada]],Endereços!A:B,2,0)</f>
        <v>Área Azul</v>
      </c>
      <c r="K881" t="s">
        <v>510</v>
      </c>
    </row>
    <row r="882" spans="1:11" x14ac:dyDescent="0.3">
      <c r="A882">
        <v>881</v>
      </c>
      <c r="B882" s="1">
        <v>45950.371990740699</v>
      </c>
      <c r="C882" s="1">
        <v>45950.372662037</v>
      </c>
      <c r="D882" t="s">
        <v>19</v>
      </c>
      <c r="E882" t="s">
        <v>25</v>
      </c>
      <c r="F882" s="2">
        <v>2349</v>
      </c>
      <c r="G882" s="2" t="str">
        <f>VLOOKUP(F882,Produtos!A:B,2,FALSE)</f>
        <v>GUARANA CHP ANTARCTICA PET 2L CAIXA C/6</v>
      </c>
      <c r="H882" t="s">
        <v>478</v>
      </c>
      <c r="I88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2" s="9" t="str">
        <f>VLOOKUP(Table1[[#This Row],[Área avaliada]],Endereços!A:B,2,0)</f>
        <v>Área Azul</v>
      </c>
      <c r="K882" t="str">
        <f>VLOOKUP(Table1[[#This Row],[Nome do avaliador ]],M:N,2,0)</f>
        <v>A</v>
      </c>
    </row>
    <row r="883" spans="1:11" x14ac:dyDescent="0.3">
      <c r="A883">
        <v>882</v>
      </c>
      <c r="B883" s="1">
        <v>45951.329085648104</v>
      </c>
      <c r="C883" s="1">
        <v>45951.329513888901</v>
      </c>
      <c r="D883" t="s">
        <v>19</v>
      </c>
      <c r="E883" t="s">
        <v>23</v>
      </c>
      <c r="F883" s="2">
        <v>21441</v>
      </c>
      <c r="G883" s="2" t="str">
        <f>VLOOKUP(F883,Produtos!A:B,2,FALSE)</f>
        <v>SUKITA LIMAO PET 2L CAIXA C/6</v>
      </c>
      <c r="H883" t="s">
        <v>473</v>
      </c>
      <c r="I88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3" s="9" t="str">
        <f>VLOOKUP(Table1[[#This Row],[Área avaliada]],Endereços!A:B,2,0)</f>
        <v>Área Azul</v>
      </c>
      <c r="K883" t="str">
        <f>VLOOKUP(Table1[[#This Row],[Nome do avaliador ]],M:N,2,0)</f>
        <v>A</v>
      </c>
    </row>
    <row r="884" spans="1:11" x14ac:dyDescent="0.3">
      <c r="A884">
        <v>883</v>
      </c>
      <c r="B884" s="1">
        <v>45951.330092592601</v>
      </c>
      <c r="C884" s="1">
        <v>45951.330578703702</v>
      </c>
      <c r="D884" t="s">
        <v>19</v>
      </c>
      <c r="E884" t="s">
        <v>23</v>
      </c>
      <c r="F884" s="2">
        <v>9084</v>
      </c>
      <c r="G884" s="2" t="str">
        <f>VLOOKUP(F884,Produtos!A:B,2,FALSE)</f>
        <v>GUARANA CHP ANTARCT LT350ML SH C/12 NPAL</v>
      </c>
      <c r="H884" t="s">
        <v>473</v>
      </c>
      <c r="I88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4" s="9" t="str">
        <f>VLOOKUP(Table1[[#This Row],[Área avaliada]],Endereços!A:B,2,0)</f>
        <v>Área Azul</v>
      </c>
      <c r="K884" t="str">
        <f>VLOOKUP(Table1[[#This Row],[Nome do avaliador ]],M:N,2,0)</f>
        <v>A</v>
      </c>
    </row>
    <row r="885" spans="1:11" x14ac:dyDescent="0.3">
      <c r="A885">
        <v>884</v>
      </c>
      <c r="B885" s="1">
        <v>45951.331145833297</v>
      </c>
      <c r="C885" s="1">
        <v>45951.331620370402</v>
      </c>
      <c r="D885" t="s">
        <v>19</v>
      </c>
      <c r="E885" t="s">
        <v>23</v>
      </c>
      <c r="F885" s="2">
        <v>9320</v>
      </c>
      <c r="G885" s="2" t="str">
        <f>VLOOKUP(F885,Produtos!A:B,2,FALSE)</f>
        <v>BRAHMA CHOPP LT 473ML SH C/12 NPAL</v>
      </c>
      <c r="H885" t="s">
        <v>473</v>
      </c>
      <c r="I88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5" s="9" t="str">
        <f>VLOOKUP(Table1[[#This Row],[Área avaliada]],Endereços!A:B,2,0)</f>
        <v>Área Azul</v>
      </c>
      <c r="K885" t="str">
        <f>VLOOKUP(Table1[[#This Row],[Nome do avaliador ]],M:N,2,0)</f>
        <v>A</v>
      </c>
    </row>
    <row r="886" spans="1:11" x14ac:dyDescent="0.3">
      <c r="A886">
        <v>885</v>
      </c>
      <c r="B886" s="1">
        <v>45951.333425925899</v>
      </c>
      <c r="C886" s="1">
        <v>45951.333888888897</v>
      </c>
      <c r="D886" t="s">
        <v>19</v>
      </c>
      <c r="E886" t="s">
        <v>23</v>
      </c>
      <c r="F886" s="2">
        <v>33820</v>
      </c>
      <c r="G886" s="2" t="e">
        <f>VLOOKUP(F886,Produtos!A:B,2,FALSE)</f>
        <v>#N/A</v>
      </c>
      <c r="H886" t="s">
        <v>473</v>
      </c>
      <c r="I88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6" s="9" t="str">
        <f>VLOOKUP(Table1[[#This Row],[Área avaliada]],Endereços!A:B,2,0)</f>
        <v>Área Azul</v>
      </c>
      <c r="K886" t="str">
        <f>VLOOKUP(Table1[[#This Row],[Nome do avaliador ]],M:N,2,0)</f>
        <v>A</v>
      </c>
    </row>
    <row r="887" spans="1:11" x14ac:dyDescent="0.3">
      <c r="A887">
        <v>886</v>
      </c>
      <c r="B887" s="1">
        <v>45951.333969907399</v>
      </c>
      <c r="C887" s="1">
        <v>45951.334386574097</v>
      </c>
      <c r="D887" t="s">
        <v>19</v>
      </c>
      <c r="E887" t="s">
        <v>23</v>
      </c>
      <c r="F887" s="2">
        <v>1164</v>
      </c>
      <c r="G887" s="2" t="str">
        <f>VLOOKUP(F887,Produtos!A:B,2,FALSE)</f>
        <v>SUKITA UVA LATA 350ML SH C/12 NPAL</v>
      </c>
      <c r="H887" t="s">
        <v>473</v>
      </c>
      <c r="I88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7" s="9" t="str">
        <f>VLOOKUP(Table1[[#This Row],[Área avaliada]],Endereços!A:B,2,0)</f>
        <v>Área Azul</v>
      </c>
      <c r="K887" t="str">
        <f>VLOOKUP(Table1[[#This Row],[Nome do avaliador ]],M:N,2,0)</f>
        <v>A</v>
      </c>
    </row>
    <row r="888" spans="1:11" x14ac:dyDescent="0.3">
      <c r="A888">
        <v>887</v>
      </c>
      <c r="B888" s="1">
        <v>45951.336238425902</v>
      </c>
      <c r="C888" s="1">
        <v>45951.336736111101</v>
      </c>
      <c r="D888" t="s">
        <v>19</v>
      </c>
      <c r="E888" t="s">
        <v>23</v>
      </c>
      <c r="F888" s="2">
        <v>17797</v>
      </c>
      <c r="G888" s="2" t="str">
        <f>VLOOKUP(F888,Produtos!A:B,2,FALSE)</f>
        <v>BRAHMA CHOPP LATA 350ML SH 18 MULTIPACK</v>
      </c>
      <c r="H888" t="s">
        <v>473</v>
      </c>
      <c r="I88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8" s="9" t="str">
        <f>VLOOKUP(Table1[[#This Row],[Área avaliada]],Endereços!A:B,2,0)</f>
        <v>Área Azul</v>
      </c>
      <c r="K888" t="str">
        <f>VLOOKUP(Table1[[#This Row],[Nome do avaliador ]],M:N,2,0)</f>
        <v>A</v>
      </c>
    </row>
    <row r="889" spans="1:11" x14ac:dyDescent="0.3">
      <c r="A889">
        <v>888</v>
      </c>
      <c r="B889" s="1">
        <v>45951.3688541667</v>
      </c>
      <c r="C889" s="1">
        <v>45951.369502314803</v>
      </c>
      <c r="D889" t="s">
        <v>17</v>
      </c>
      <c r="E889" t="s">
        <v>23</v>
      </c>
      <c r="F889" s="2">
        <v>21658</v>
      </c>
      <c r="G889" s="2" t="str">
        <f>VLOOKUP(F889,Produtos!A:B,2,FALSE)</f>
        <v>SPATEN N LT SLEEK 350ML CX CART C12</v>
      </c>
      <c r="H889" t="s">
        <v>475</v>
      </c>
      <c r="I88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9" s="9" t="str">
        <f>VLOOKUP(Table1[[#This Row],[Área avaliada]],Endereços!A:B,2,0)</f>
        <v>Área Azul</v>
      </c>
      <c r="K889" t="s">
        <v>510</v>
      </c>
    </row>
    <row r="890" spans="1:11" x14ac:dyDescent="0.3">
      <c r="A890">
        <v>889</v>
      </c>
      <c r="B890" s="1">
        <v>45951.369560185201</v>
      </c>
      <c r="C890" s="1">
        <v>45951.37</v>
      </c>
      <c r="D890" t="s">
        <v>19</v>
      </c>
      <c r="E890" t="s">
        <v>20</v>
      </c>
      <c r="F890" s="2">
        <v>14135</v>
      </c>
      <c r="G890" s="2" t="str">
        <f>VLOOKUP(F890,Produtos!A:B,2,FALSE)</f>
        <v>BUDWEISER LT 473ML SIX-PACK SH C/2 NPAL</v>
      </c>
      <c r="H890" t="s">
        <v>473</v>
      </c>
      <c r="I89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0" s="9" t="str">
        <f>VLOOKUP(Table1[[#This Row],[Área avaliada]],Endereços!A:B,2,0)</f>
        <v>Área Azul</v>
      </c>
      <c r="K890" t="str">
        <f>VLOOKUP(Table1[[#This Row],[Nome do avaliador ]],M:N,2,0)</f>
        <v>A</v>
      </c>
    </row>
    <row r="891" spans="1:11" x14ac:dyDescent="0.3">
      <c r="A891">
        <v>890</v>
      </c>
      <c r="B891" s="1">
        <v>45951.370659722197</v>
      </c>
      <c r="C891" s="1">
        <v>45951.371157407397</v>
      </c>
      <c r="D891" t="s">
        <v>19</v>
      </c>
      <c r="E891" t="s">
        <v>33</v>
      </c>
      <c r="F891" s="2">
        <v>21020</v>
      </c>
      <c r="G891" s="2" t="str">
        <f>VLOOKUP(F891,Produtos!A:B,2,FALSE)</f>
        <v>BUDWEISER LT SLEEK 350ML CX CART C12</v>
      </c>
      <c r="H891" t="s">
        <v>473</v>
      </c>
      <c r="I89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1" s="9" t="str">
        <f>VLOOKUP(Table1[[#This Row],[Área avaliada]],Endereços!A:B,2,0)</f>
        <v>Área Verde</v>
      </c>
      <c r="K891" t="str">
        <f>VLOOKUP(Table1[[#This Row],[Nome do avaliador ]],M:N,2,0)</f>
        <v>A</v>
      </c>
    </row>
    <row r="892" spans="1:11" x14ac:dyDescent="0.3">
      <c r="A892">
        <v>891</v>
      </c>
      <c r="B892" s="1">
        <v>45951.371979166703</v>
      </c>
      <c r="C892" s="1">
        <v>45951.372673611098</v>
      </c>
      <c r="D892" t="s">
        <v>19</v>
      </c>
      <c r="E892" t="s">
        <v>20</v>
      </c>
      <c r="F892" s="2">
        <v>9089</v>
      </c>
      <c r="G892" s="2" t="str">
        <f>VLOOKUP(F892,Produtos!A:B,2,FALSE)</f>
        <v>SUKITA LATA 350ML SH C/12 NPAL</v>
      </c>
      <c r="H892" t="s">
        <v>473</v>
      </c>
      <c r="I89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2" s="9" t="str">
        <f>VLOOKUP(Table1[[#This Row],[Área avaliada]],Endereços!A:B,2,0)</f>
        <v>Área Azul</v>
      </c>
      <c r="K892" t="str">
        <f>VLOOKUP(Table1[[#This Row],[Nome do avaliador ]],M:N,2,0)</f>
        <v>A</v>
      </c>
    </row>
    <row r="893" spans="1:11" x14ac:dyDescent="0.3">
      <c r="A893">
        <v>892</v>
      </c>
      <c r="B893" s="1">
        <v>45951.373032407399</v>
      </c>
      <c r="C893" s="1">
        <v>45951.374004629601</v>
      </c>
      <c r="D893" t="s">
        <v>19</v>
      </c>
      <c r="E893" t="s">
        <v>33</v>
      </c>
      <c r="F893" s="2">
        <v>4409</v>
      </c>
      <c r="G893" s="2" t="str">
        <f>VLOOKUP(F893,Produtos!A:B,2,FALSE)</f>
        <v>PEPSI TWIST PET 2L SHRINK C/6</v>
      </c>
      <c r="H893" t="s">
        <v>473</v>
      </c>
      <c r="I89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3" s="9" t="str">
        <f>VLOOKUP(Table1[[#This Row],[Área avaliada]],Endereços!A:B,2,0)</f>
        <v>Área Verde</v>
      </c>
      <c r="K893" t="str">
        <f>VLOOKUP(Table1[[#This Row],[Nome do avaliador ]],M:N,2,0)</f>
        <v>A</v>
      </c>
    </row>
    <row r="894" spans="1:11" x14ac:dyDescent="0.3">
      <c r="A894">
        <v>893</v>
      </c>
      <c r="B894" s="1">
        <v>45951.381412037001</v>
      </c>
      <c r="C894" s="1">
        <v>45951.382129629601</v>
      </c>
      <c r="D894" t="s">
        <v>17</v>
      </c>
      <c r="E894" t="s">
        <v>23</v>
      </c>
      <c r="F894" s="2">
        <v>17797</v>
      </c>
      <c r="G894" s="2" t="str">
        <f>VLOOKUP(F894,Produtos!A:B,2,FALSE)</f>
        <v>BRAHMA CHOPP LATA 350ML SH 18 MULTIPACK</v>
      </c>
      <c r="H894" t="s">
        <v>475</v>
      </c>
      <c r="I89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4" s="9" t="str">
        <f>VLOOKUP(Table1[[#This Row],[Área avaliada]],Endereços!A:B,2,0)</f>
        <v>Área Azul</v>
      </c>
      <c r="K894" t="s">
        <v>510</v>
      </c>
    </row>
    <row r="895" spans="1:11" x14ac:dyDescent="0.3">
      <c r="A895">
        <v>894</v>
      </c>
      <c r="B895" s="1">
        <v>45951.382303240702</v>
      </c>
      <c r="C895" s="1">
        <v>45951.383518518502</v>
      </c>
      <c r="D895" t="s">
        <v>17</v>
      </c>
      <c r="E895" t="s">
        <v>23</v>
      </c>
      <c r="F895" s="2">
        <v>9083</v>
      </c>
      <c r="G895" s="2" t="str">
        <f>VLOOKUP(F895,Produtos!A:B,2,FALSE)</f>
        <v>SKOL LT 473ML SH C/12 NPAL</v>
      </c>
      <c r="H895" t="s">
        <v>475</v>
      </c>
      <c r="I89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5" s="9" t="str">
        <f>VLOOKUP(Table1[[#This Row],[Área avaliada]],Endereços!A:B,2,0)</f>
        <v>Área Azul</v>
      </c>
      <c r="K895" t="s">
        <v>510</v>
      </c>
    </row>
    <row r="896" spans="1:11" x14ac:dyDescent="0.3">
      <c r="A896">
        <v>895</v>
      </c>
      <c r="B896" s="1">
        <v>45951.3835300926</v>
      </c>
      <c r="C896" s="1">
        <v>45951.384178240703</v>
      </c>
      <c r="D896" t="s">
        <v>17</v>
      </c>
      <c r="E896" t="s">
        <v>23</v>
      </c>
      <c r="F896" s="2">
        <v>9274</v>
      </c>
      <c r="G896" s="2" t="str">
        <f>VLOOKUP(F896,Produtos!A:B,2,FALSE)</f>
        <v>PEPSI ZERO LATA 350ML SH C/12 NPAL</v>
      </c>
      <c r="H896" t="s">
        <v>475</v>
      </c>
      <c r="I89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6" s="9" t="str">
        <f>VLOOKUP(Table1[[#This Row],[Área avaliada]],Endereços!A:B,2,0)</f>
        <v>Área Azul</v>
      </c>
      <c r="K896" t="s">
        <v>510</v>
      </c>
    </row>
    <row r="897" spans="1:11" x14ac:dyDescent="0.3">
      <c r="A897">
        <v>896</v>
      </c>
      <c r="B897" s="1">
        <v>45951.383541666699</v>
      </c>
      <c r="C897" s="1">
        <v>45951.384189814802</v>
      </c>
      <c r="D897" t="s">
        <v>17</v>
      </c>
      <c r="E897" t="s">
        <v>23</v>
      </c>
      <c r="F897" s="2">
        <v>9274</v>
      </c>
      <c r="G897" s="2" t="str">
        <f>VLOOKUP(F897,Produtos!A:B,2,FALSE)</f>
        <v>PEPSI ZERO LATA 350ML SH C/12 NPAL</v>
      </c>
      <c r="H897" t="s">
        <v>475</v>
      </c>
      <c r="I89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7" s="9" t="str">
        <f>VLOOKUP(Table1[[#This Row],[Área avaliada]],Endereços!A:B,2,0)</f>
        <v>Área Azul</v>
      </c>
      <c r="K897" t="s">
        <v>510</v>
      </c>
    </row>
    <row r="898" spans="1:11" x14ac:dyDescent="0.3">
      <c r="A898">
        <v>897</v>
      </c>
      <c r="B898" s="1">
        <v>45951.4371412037</v>
      </c>
      <c r="C898" s="1">
        <v>45951.438252314802</v>
      </c>
      <c r="D898" t="s">
        <v>19</v>
      </c>
      <c r="E898" t="s">
        <v>12</v>
      </c>
      <c r="F898" s="2">
        <v>15416</v>
      </c>
      <c r="G898" s="2" t="str">
        <f>VLOOKUP(F898,Produtos!A:B,2,FALSE)</f>
        <v>AGUA M F DA ILHA C/G PET 500ML CXC12 PRE</v>
      </c>
      <c r="H898" t="s">
        <v>483</v>
      </c>
      <c r="I89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8" s="9" t="str">
        <f>VLOOKUP(Table1[[#This Row],[Área avaliada]],Endereços!A:B,2,0)</f>
        <v>Área Verde</v>
      </c>
      <c r="K898" t="str">
        <f>VLOOKUP(Table1[[#This Row],[Nome do avaliador ]],M:N,2,0)</f>
        <v>A</v>
      </c>
    </row>
    <row r="899" spans="1:11" x14ac:dyDescent="0.3">
      <c r="A899">
        <v>898</v>
      </c>
      <c r="B899" s="1">
        <v>45952.329722222203</v>
      </c>
      <c r="C899" s="1">
        <v>45952.3301967593</v>
      </c>
      <c r="D899" t="s">
        <v>19</v>
      </c>
      <c r="E899" t="s">
        <v>23</v>
      </c>
      <c r="F899" s="2">
        <v>9084</v>
      </c>
      <c r="G899" s="2" t="str">
        <f>VLOOKUP(F899,Produtos!A:B,2,FALSE)</f>
        <v>GUARANA CHP ANTARCT LT350ML SH C/12 NPAL</v>
      </c>
      <c r="H899" t="s">
        <v>473</v>
      </c>
      <c r="I89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9" s="9" t="str">
        <f>VLOOKUP(Table1[[#This Row],[Área avaliada]],Endereços!A:B,2,0)</f>
        <v>Área Azul</v>
      </c>
      <c r="K899" t="str">
        <f>VLOOKUP(Table1[[#This Row],[Nome do avaliador ]],M:N,2,0)</f>
        <v>A</v>
      </c>
    </row>
    <row r="900" spans="1:11" x14ac:dyDescent="0.3">
      <c r="A900">
        <v>899</v>
      </c>
      <c r="B900" s="1">
        <v>45952.438055555598</v>
      </c>
      <c r="C900" s="1">
        <v>45952.438958333303</v>
      </c>
      <c r="D900" t="s">
        <v>19</v>
      </c>
      <c r="E900" t="s">
        <v>23</v>
      </c>
      <c r="F900" s="2">
        <v>9093</v>
      </c>
      <c r="G900" s="2" t="str">
        <f>VLOOKUP(F900,Produtos!A:B,2,FALSE)</f>
        <v>PEPSI TWIST LATA 350ML SH C/12 NPAL</v>
      </c>
      <c r="H900" t="s">
        <v>473</v>
      </c>
      <c r="I90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0" s="9" t="str">
        <f>VLOOKUP(Table1[[#This Row],[Área avaliada]],Endereços!A:B,2,0)</f>
        <v>Área Azul</v>
      </c>
      <c r="K900" t="str">
        <f>VLOOKUP(Table1[[#This Row],[Nome do avaliador ]],M:N,2,0)</f>
        <v>A</v>
      </c>
    </row>
    <row r="901" spans="1:11" x14ac:dyDescent="0.3">
      <c r="A901">
        <v>900</v>
      </c>
      <c r="B901" s="1">
        <v>45952.440254629597</v>
      </c>
      <c r="C901" s="1">
        <v>45952.440706018497</v>
      </c>
      <c r="D901" t="s">
        <v>19</v>
      </c>
      <c r="E901" t="s">
        <v>23</v>
      </c>
      <c r="F901" s="2">
        <v>9320</v>
      </c>
      <c r="G901" s="2" t="str">
        <f>VLOOKUP(F901,Produtos!A:B,2,FALSE)</f>
        <v>BRAHMA CHOPP LT 473ML SH C/12 NPAL</v>
      </c>
      <c r="H901" t="s">
        <v>473</v>
      </c>
      <c r="I90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1" s="9" t="str">
        <f>VLOOKUP(Table1[[#This Row],[Área avaliada]],Endereços!A:B,2,0)</f>
        <v>Área Azul</v>
      </c>
      <c r="K901" t="str">
        <f>VLOOKUP(Table1[[#This Row],[Nome do avaliador ]],M:N,2,0)</f>
        <v>A</v>
      </c>
    </row>
    <row r="902" spans="1:11" x14ac:dyDescent="0.3">
      <c r="A902">
        <v>901</v>
      </c>
      <c r="B902" s="1">
        <v>45953.193854166697</v>
      </c>
      <c r="C902" s="1">
        <v>45953.195231481499</v>
      </c>
      <c r="D902" t="s">
        <v>26</v>
      </c>
      <c r="E902" t="s">
        <v>14</v>
      </c>
      <c r="F902" s="2">
        <v>9083</v>
      </c>
      <c r="G902" s="2" t="str">
        <f>VLOOKUP(F902,Produtos!A:B,2,FALSE)</f>
        <v>SKOL LT 473ML SH C/12 NPAL</v>
      </c>
      <c r="H902" t="s">
        <v>475</v>
      </c>
      <c r="I90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2" s="9" t="str">
        <f>VLOOKUP(Table1[[#This Row],[Área avaliada]],Endereços!A:B,2,0)</f>
        <v>Picking Baixo Giro</v>
      </c>
      <c r="K902" t="str">
        <f>VLOOKUP(Table1[[#This Row],[Nome do avaliador ]],M:N,2,0)</f>
        <v>C</v>
      </c>
    </row>
    <row r="903" spans="1:11" x14ac:dyDescent="0.3">
      <c r="A903">
        <v>902</v>
      </c>
      <c r="B903" s="1">
        <v>45953.209178240701</v>
      </c>
      <c r="C903" s="1">
        <v>45953.210196759297</v>
      </c>
      <c r="D903" t="s">
        <v>26</v>
      </c>
      <c r="E903" t="s">
        <v>14</v>
      </c>
      <c r="F903" s="2">
        <v>9068</v>
      </c>
      <c r="G903" s="2" t="str">
        <f>VLOOKUP(F903,Produtos!A:B,2,FALSE)</f>
        <v>SKOL LATA 350ML SH C/12 NPAL</v>
      </c>
      <c r="H903" t="s">
        <v>475</v>
      </c>
      <c r="I90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3" s="9" t="str">
        <f>VLOOKUP(Table1[[#This Row],[Área avaliada]],Endereços!A:B,2,0)</f>
        <v>Picking Baixo Giro</v>
      </c>
      <c r="K903" t="str">
        <f>VLOOKUP(Table1[[#This Row],[Nome do avaliador ]],M:N,2,0)</f>
        <v>C</v>
      </c>
    </row>
    <row r="904" spans="1:11" x14ac:dyDescent="0.3">
      <c r="A904">
        <v>903</v>
      </c>
      <c r="B904" s="1">
        <v>45953.386030092603</v>
      </c>
      <c r="C904" s="1">
        <v>45953.386643518497</v>
      </c>
      <c r="D904" t="s">
        <v>19</v>
      </c>
      <c r="E904" t="s">
        <v>23</v>
      </c>
      <c r="F904" s="2">
        <v>9084</v>
      </c>
      <c r="G904" s="2" t="str">
        <f>VLOOKUP(F904,Produtos!A:B,2,FALSE)</f>
        <v>GUARANA CHP ANTARCT LT350ML SH C/12 NPAL</v>
      </c>
      <c r="H904" t="s">
        <v>473</v>
      </c>
      <c r="I90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4" s="9" t="str">
        <f>VLOOKUP(Table1[[#This Row],[Área avaliada]],Endereços!A:B,2,0)</f>
        <v>Área Azul</v>
      </c>
      <c r="K904" t="str">
        <f>VLOOKUP(Table1[[#This Row],[Nome do avaliador ]],M:N,2,0)</f>
        <v>A</v>
      </c>
    </row>
    <row r="905" spans="1:11" x14ac:dyDescent="0.3">
      <c r="A905">
        <v>904</v>
      </c>
      <c r="B905" s="1">
        <v>45953.386736111097</v>
      </c>
      <c r="C905" s="1">
        <v>45953.387141203697</v>
      </c>
      <c r="D905" t="s">
        <v>19</v>
      </c>
      <c r="E905" t="s">
        <v>23</v>
      </c>
      <c r="F905" s="2">
        <v>9089</v>
      </c>
      <c r="G905" s="2" t="str">
        <f>VLOOKUP(F905,Produtos!A:B,2,FALSE)</f>
        <v>SUKITA LATA 350ML SH C/12 NPAL</v>
      </c>
      <c r="H905" t="s">
        <v>473</v>
      </c>
      <c r="I90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5" s="9" t="str">
        <f>VLOOKUP(Table1[[#This Row],[Área avaliada]],Endereços!A:B,2,0)</f>
        <v>Área Azul</v>
      </c>
      <c r="K905" t="str">
        <f>VLOOKUP(Table1[[#This Row],[Nome do avaliador ]],M:N,2,0)</f>
        <v>A</v>
      </c>
    </row>
    <row r="906" spans="1:11" x14ac:dyDescent="0.3">
      <c r="A906">
        <v>905</v>
      </c>
      <c r="B906" s="1">
        <v>45953.3895486111</v>
      </c>
      <c r="C906" s="1">
        <v>45953.390231481499</v>
      </c>
      <c r="D906" t="s">
        <v>19</v>
      </c>
      <c r="E906" t="s">
        <v>23</v>
      </c>
      <c r="F906" s="2">
        <v>34027</v>
      </c>
      <c r="G906" s="2" t="str">
        <f>VLOOKUP(F906,Produtos!A:B,2,FALSE)</f>
        <v>GUARANA CHP ANT LATA 350ML SH C/12 MP</v>
      </c>
      <c r="H906" t="s">
        <v>473</v>
      </c>
      <c r="I90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6" s="9" t="str">
        <f>VLOOKUP(Table1[[#This Row],[Área avaliada]],Endereços!A:B,2,0)</f>
        <v>Área Azul</v>
      </c>
      <c r="K906" t="str">
        <f>VLOOKUP(Table1[[#This Row],[Nome do avaliador ]],M:N,2,0)</f>
        <v>A</v>
      </c>
    </row>
    <row r="907" spans="1:11" x14ac:dyDescent="0.3">
      <c r="A907">
        <v>906</v>
      </c>
      <c r="B907" s="1">
        <v>45953.391111111101</v>
      </c>
      <c r="C907" s="1">
        <v>45953.391550925902</v>
      </c>
      <c r="D907" t="s">
        <v>19</v>
      </c>
      <c r="E907" t="s">
        <v>23</v>
      </c>
      <c r="F907" s="2">
        <v>9320</v>
      </c>
      <c r="G907" s="2" t="str">
        <f>VLOOKUP(F907,Produtos!A:B,2,FALSE)</f>
        <v>BRAHMA CHOPP LT 473ML SH C/12 NPAL</v>
      </c>
      <c r="H907" t="s">
        <v>473</v>
      </c>
      <c r="I90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7" s="9" t="str">
        <f>VLOOKUP(Table1[[#This Row],[Área avaliada]],Endereços!A:B,2,0)</f>
        <v>Área Azul</v>
      </c>
      <c r="K907" t="str">
        <f>VLOOKUP(Table1[[#This Row],[Nome do avaliador ]],M:N,2,0)</f>
        <v>A</v>
      </c>
    </row>
    <row r="908" spans="1:11" x14ac:dyDescent="0.3">
      <c r="A908">
        <v>907</v>
      </c>
      <c r="B908" s="1">
        <v>45953.394745370402</v>
      </c>
      <c r="C908" s="1">
        <v>45953.395671296297</v>
      </c>
      <c r="D908" t="s">
        <v>19</v>
      </c>
      <c r="E908" t="s">
        <v>25</v>
      </c>
      <c r="F908" s="2">
        <v>9069</v>
      </c>
      <c r="G908" s="2" t="str">
        <f>VLOOKUP(F908,Produtos!A:B,2,FALSE)</f>
        <v>BRAHMA CHOPP LATA 350ML SH C/12 NPAL</v>
      </c>
      <c r="H908" t="s">
        <v>473</v>
      </c>
      <c r="I90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8" s="9" t="str">
        <f>VLOOKUP(Table1[[#This Row],[Área avaliada]],Endereços!A:B,2,0)</f>
        <v>Área Azul</v>
      </c>
      <c r="K908" t="str">
        <f>VLOOKUP(Table1[[#This Row],[Nome do avaliador ]],M:N,2,0)</f>
        <v>A</v>
      </c>
    </row>
    <row r="909" spans="1:11" x14ac:dyDescent="0.3">
      <c r="A909">
        <v>908</v>
      </c>
      <c r="B909" s="1">
        <v>45953.395104166702</v>
      </c>
      <c r="C909" s="1">
        <v>45953.395879629599</v>
      </c>
      <c r="D909" t="s">
        <v>17</v>
      </c>
      <c r="E909" t="s">
        <v>23</v>
      </c>
      <c r="F909" s="2">
        <v>9320</v>
      </c>
      <c r="G909" s="2" t="str">
        <f>VLOOKUP(F909,Produtos!A:B,2,FALSE)</f>
        <v>BRAHMA CHOPP LT 473ML SH C/12 NPAL</v>
      </c>
      <c r="H909" t="s">
        <v>475</v>
      </c>
      <c r="I90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9" s="9" t="str">
        <f>VLOOKUP(Table1[[#This Row],[Área avaliada]],Endereços!A:B,2,0)</f>
        <v>Área Azul</v>
      </c>
      <c r="K909" t="s">
        <v>510</v>
      </c>
    </row>
    <row r="910" spans="1:11" x14ac:dyDescent="0.3">
      <c r="A910">
        <v>909</v>
      </c>
      <c r="B910" s="1">
        <v>45953.465208333299</v>
      </c>
      <c r="C910" s="1">
        <v>45953.4656944444</v>
      </c>
      <c r="D910" t="s">
        <v>19</v>
      </c>
      <c r="E910" t="s">
        <v>23</v>
      </c>
      <c r="F910" s="2">
        <v>22290</v>
      </c>
      <c r="G910" s="2" t="e">
        <f>VLOOKUP(F910,Produtos!A:B,2,FALSE)</f>
        <v>#N/A</v>
      </c>
      <c r="H910" t="s">
        <v>485</v>
      </c>
      <c r="I91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0" s="9" t="str">
        <f>VLOOKUP(Table1[[#This Row],[Área avaliada]],Endereços!A:B,2,0)</f>
        <v>Área Azul</v>
      </c>
      <c r="K910" t="str">
        <f>VLOOKUP(Table1[[#This Row],[Nome do avaliador ]],M:N,2,0)</f>
        <v>A</v>
      </c>
    </row>
    <row r="911" spans="1:11" x14ac:dyDescent="0.3">
      <c r="A911">
        <v>910</v>
      </c>
      <c r="B911" s="1">
        <v>45953.689085648097</v>
      </c>
      <c r="C911" s="1">
        <v>45953.691226851799</v>
      </c>
      <c r="D911" t="s">
        <v>31</v>
      </c>
      <c r="E911" t="s">
        <v>14</v>
      </c>
      <c r="G911" t="e">
        <f>VLOOKUP(F911,Produtos!A:B,2,FALSE)</f>
        <v>#N/A</v>
      </c>
      <c r="I91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1" s="9" t="str">
        <f>VLOOKUP(Table1[[#This Row],[Área avaliada]],Endereços!A:B,2,0)</f>
        <v>Picking Baixo Giro</v>
      </c>
      <c r="K911" t="str">
        <f>VLOOKUP(Table1[[#This Row],[Nome do avaliador ]],M:N,2,0)</f>
        <v>B</v>
      </c>
    </row>
    <row r="912" spans="1:11" x14ac:dyDescent="0.3">
      <c r="A912">
        <v>911</v>
      </c>
      <c r="B912" s="1">
        <v>45954.184525463003</v>
      </c>
      <c r="C912" s="1">
        <v>45954.1859259259</v>
      </c>
      <c r="D912" t="s">
        <v>26</v>
      </c>
      <c r="E912" t="s">
        <v>14</v>
      </c>
      <c r="F912" s="2">
        <v>9069</v>
      </c>
      <c r="G912" s="2" t="str">
        <f>VLOOKUP(F912,Produtos!A:B,2,FALSE)</f>
        <v>BRAHMA CHOPP LATA 350ML SH C/12 NPAL</v>
      </c>
      <c r="H912" t="s">
        <v>475</v>
      </c>
      <c r="I91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2" s="9" t="str">
        <f>VLOOKUP(Table1[[#This Row],[Área avaliada]],Endereços!A:B,2,0)</f>
        <v>Picking Baixo Giro</v>
      </c>
      <c r="K912" t="str">
        <f>VLOOKUP(Table1[[#This Row],[Nome do avaliador ]],M:N,2,0)</f>
        <v>C</v>
      </c>
    </row>
    <row r="913" spans="1:11" x14ac:dyDescent="0.3">
      <c r="A913">
        <v>912</v>
      </c>
      <c r="B913" s="1">
        <v>45954.334120370397</v>
      </c>
      <c r="C913" s="1">
        <v>45954.335208333301</v>
      </c>
      <c r="D913" t="s">
        <v>19</v>
      </c>
      <c r="E913" t="s">
        <v>33</v>
      </c>
      <c r="F913" s="2">
        <v>21020</v>
      </c>
      <c r="G913" s="2" t="str">
        <f>VLOOKUP(F913,Produtos!A:B,2,FALSE)</f>
        <v>BUDWEISER LT SLEEK 350ML CX CART C12</v>
      </c>
      <c r="H913" t="s">
        <v>473</v>
      </c>
      <c r="I91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3" s="9" t="str">
        <f>VLOOKUP(Table1[[#This Row],[Área avaliada]],Endereços!A:B,2,0)</f>
        <v>Área Verde</v>
      </c>
      <c r="K913" t="str">
        <f>VLOOKUP(Table1[[#This Row],[Nome do avaliador ]],M:N,2,0)</f>
        <v>A</v>
      </c>
    </row>
    <row r="914" spans="1:11" x14ac:dyDescent="0.3">
      <c r="A914">
        <v>913</v>
      </c>
      <c r="B914" s="1">
        <v>45954.335902777799</v>
      </c>
      <c r="C914" s="1">
        <v>45954.336574074099</v>
      </c>
      <c r="D914" t="s">
        <v>19</v>
      </c>
      <c r="E914" t="s">
        <v>20</v>
      </c>
      <c r="F914" s="2">
        <v>17808</v>
      </c>
      <c r="G914" s="2" t="str">
        <f>VLOOKUP(F914,Produtos!A:B,2,FALSE)</f>
        <v>BUDWEISER OW 330ML CX C 24</v>
      </c>
      <c r="H914" t="s">
        <v>485</v>
      </c>
      <c r="I91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4" s="9" t="str">
        <f>VLOOKUP(Table1[[#This Row],[Área avaliada]],Endereços!A:B,2,0)</f>
        <v>Área Azul</v>
      </c>
      <c r="K914" t="str">
        <f>VLOOKUP(Table1[[#This Row],[Nome do avaliador ]],M:N,2,0)</f>
        <v>A</v>
      </c>
    </row>
    <row r="915" spans="1:11" x14ac:dyDescent="0.3">
      <c r="A915">
        <v>914</v>
      </c>
      <c r="B915" s="1">
        <v>45954.337858796302</v>
      </c>
      <c r="C915" s="1">
        <v>45954.338391203702</v>
      </c>
      <c r="D915" t="s">
        <v>17</v>
      </c>
      <c r="E915" t="s">
        <v>33</v>
      </c>
      <c r="F915" s="2">
        <v>21020</v>
      </c>
      <c r="G915" s="2" t="str">
        <f>VLOOKUP(F915,Produtos!A:B,2,FALSE)</f>
        <v>BUDWEISER LT SLEEK 350ML CX CART C12</v>
      </c>
      <c r="H915" t="s">
        <v>475</v>
      </c>
      <c r="I91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5" s="9" t="str">
        <f>VLOOKUP(Table1[[#This Row],[Área avaliada]],Endereços!A:B,2,0)</f>
        <v>Área Verde</v>
      </c>
      <c r="K915" t="s">
        <v>510</v>
      </c>
    </row>
    <row r="916" spans="1:11" x14ac:dyDescent="0.3">
      <c r="A916">
        <v>915</v>
      </c>
      <c r="B916" s="1">
        <v>45954.337777777801</v>
      </c>
      <c r="C916" s="1">
        <v>45954.338460648098</v>
      </c>
      <c r="D916" t="s">
        <v>19</v>
      </c>
      <c r="E916" t="s">
        <v>20</v>
      </c>
      <c r="F916" s="2">
        <v>29580</v>
      </c>
      <c r="G916" s="2" t="str">
        <f>VLOOKUP(F916,Produtos!A:B,2,FALSE)</f>
        <v>STELLA ARTOIS PURE GOLD LN 330 SXP SH C4</v>
      </c>
      <c r="H916" t="s">
        <v>485</v>
      </c>
      <c r="I91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6" s="9" t="str">
        <f>VLOOKUP(Table1[[#This Row],[Área avaliada]],Endereços!A:B,2,0)</f>
        <v>Área Azul</v>
      </c>
      <c r="K916" t="str">
        <f>VLOOKUP(Table1[[#This Row],[Nome do avaliador ]],M:N,2,0)</f>
        <v>A</v>
      </c>
    </row>
    <row r="917" spans="1:11" x14ac:dyDescent="0.3">
      <c r="A917">
        <v>916</v>
      </c>
      <c r="B917" s="1">
        <v>45954.338888888902</v>
      </c>
      <c r="C917" s="1">
        <v>45954.339525463001</v>
      </c>
      <c r="D917" t="s">
        <v>17</v>
      </c>
      <c r="E917" t="s">
        <v>20</v>
      </c>
      <c r="F917" s="2">
        <v>29580</v>
      </c>
      <c r="G917" s="2" t="str">
        <f>VLOOKUP(F917,Produtos!A:B,2,FALSE)</f>
        <v>STELLA ARTOIS PURE GOLD LN 330 SXP SH C4</v>
      </c>
      <c r="H917" t="s">
        <v>475</v>
      </c>
      <c r="I91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7" s="9" t="str">
        <f>VLOOKUP(Table1[[#This Row],[Área avaliada]],Endereços!A:B,2,0)</f>
        <v>Área Azul</v>
      </c>
      <c r="K917" t="s">
        <v>510</v>
      </c>
    </row>
    <row r="918" spans="1:11" x14ac:dyDescent="0.3">
      <c r="A918">
        <v>917</v>
      </c>
      <c r="B918" s="1">
        <v>45954.339537036998</v>
      </c>
      <c r="C918" s="1">
        <v>45954.340277777803</v>
      </c>
      <c r="D918" t="s">
        <v>17</v>
      </c>
      <c r="E918" t="s">
        <v>20</v>
      </c>
      <c r="F918" s="2">
        <v>17808</v>
      </c>
      <c r="G918" s="2" t="str">
        <f>VLOOKUP(F918,Produtos!A:B,2,FALSE)</f>
        <v>BUDWEISER OW 330ML CX C 24</v>
      </c>
      <c r="H918" t="s">
        <v>475</v>
      </c>
      <c r="I91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8" s="9" t="str">
        <f>VLOOKUP(Table1[[#This Row],[Área avaliada]],Endereços!A:B,2,0)</f>
        <v>Área Azul</v>
      </c>
      <c r="K918" t="s">
        <v>510</v>
      </c>
    </row>
    <row r="919" spans="1:11" x14ac:dyDescent="0.3">
      <c r="A919">
        <v>918</v>
      </c>
      <c r="B919" s="1">
        <v>45954.341180555602</v>
      </c>
      <c r="C919" s="1">
        <v>45954.342037037</v>
      </c>
      <c r="D919" t="s">
        <v>19</v>
      </c>
      <c r="E919" t="s">
        <v>23</v>
      </c>
      <c r="F919" s="2">
        <v>7985</v>
      </c>
      <c r="G919" s="2" t="str">
        <f>VLOOKUP(F919,Produtos!A:B,2,FALSE)</f>
        <v>GATORADE MARACUJA PET 500ML SIX PACK</v>
      </c>
      <c r="H919" t="s">
        <v>491</v>
      </c>
      <c r="I91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9" s="9" t="str">
        <f>VLOOKUP(Table1[[#This Row],[Área avaliada]],Endereços!A:B,2,0)</f>
        <v>Área Azul</v>
      </c>
      <c r="K919" t="str">
        <f>VLOOKUP(Table1[[#This Row],[Nome do avaliador ]],M:N,2,0)</f>
        <v>A</v>
      </c>
    </row>
    <row r="920" spans="1:11" x14ac:dyDescent="0.3">
      <c r="A920">
        <v>919</v>
      </c>
      <c r="B920" s="1">
        <v>45954.343090277798</v>
      </c>
      <c r="C920" s="1">
        <v>45954.343692129602</v>
      </c>
      <c r="D920" t="s">
        <v>19</v>
      </c>
      <c r="E920" t="s">
        <v>23</v>
      </c>
      <c r="F920" s="2">
        <v>2354</v>
      </c>
      <c r="G920" s="2" t="str">
        <f>VLOOKUP(F920,Produtos!A:B,2,FALSE)</f>
        <v>SODA LIMONADA ANTARCT DIET PET 2L CX C/6</v>
      </c>
      <c r="H920" t="s">
        <v>474</v>
      </c>
      <c r="I92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0" s="9" t="str">
        <f>VLOOKUP(Table1[[#This Row],[Área avaliada]],Endereços!A:B,2,0)</f>
        <v>Área Azul</v>
      </c>
      <c r="K920" t="str">
        <f>VLOOKUP(Table1[[#This Row],[Nome do avaliador ]],M:N,2,0)</f>
        <v>A</v>
      </c>
    </row>
    <row r="921" spans="1:11" x14ac:dyDescent="0.3">
      <c r="A921">
        <v>920</v>
      </c>
      <c r="B921" s="1">
        <v>45954.343472222201</v>
      </c>
      <c r="C921" s="1">
        <v>45954.343969907401</v>
      </c>
      <c r="D921" t="s">
        <v>17</v>
      </c>
      <c r="E921" t="s">
        <v>23</v>
      </c>
      <c r="F921" s="2">
        <v>22180</v>
      </c>
      <c r="G921" s="2" t="str">
        <f>VLOOKUP(F921,Produtos!A:B,2,FALSE)</f>
        <v>BUDWEISER ZERO LN 330ML SIX-PACK SH C/4</v>
      </c>
      <c r="H921" t="s">
        <v>475</v>
      </c>
      <c r="I92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1" s="9" t="str">
        <f>VLOOKUP(Table1[[#This Row],[Área avaliada]],Endereços!A:B,2,0)</f>
        <v>Área Azul</v>
      </c>
      <c r="K921" t="s">
        <v>510</v>
      </c>
    </row>
    <row r="922" spans="1:11" x14ac:dyDescent="0.3">
      <c r="A922">
        <v>921</v>
      </c>
      <c r="B922" s="1">
        <v>45954.344733796301</v>
      </c>
      <c r="C922" s="1">
        <v>45954.3453240741</v>
      </c>
      <c r="D922" t="s">
        <v>19</v>
      </c>
      <c r="E922" t="s">
        <v>23</v>
      </c>
      <c r="F922" s="2">
        <v>9091</v>
      </c>
      <c r="G922" s="2" t="str">
        <f>VLOOKUP(F922,Produtos!A:B,2,FALSE)</f>
        <v>TONICA ANTARCTICA LT 350ML SH C/12 NPAL</v>
      </c>
      <c r="H922" t="s">
        <v>473</v>
      </c>
      <c r="I92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2" s="9" t="str">
        <f>VLOOKUP(Table1[[#This Row],[Área avaliada]],Endereços!A:B,2,0)</f>
        <v>Área Azul</v>
      </c>
      <c r="K922" t="str">
        <f>VLOOKUP(Table1[[#This Row],[Nome do avaliador ]],M:N,2,0)</f>
        <v>A</v>
      </c>
    </row>
    <row r="923" spans="1:11" x14ac:dyDescent="0.3">
      <c r="A923">
        <v>922</v>
      </c>
      <c r="B923" s="1">
        <v>45954.346006944397</v>
      </c>
      <c r="C923" s="1">
        <v>45954.346504629597</v>
      </c>
      <c r="D923" t="s">
        <v>17</v>
      </c>
      <c r="E923" t="s">
        <v>23</v>
      </c>
      <c r="F923" s="2">
        <v>9091</v>
      </c>
      <c r="G923" s="2" t="str">
        <f>VLOOKUP(F923,Produtos!A:B,2,FALSE)</f>
        <v>TONICA ANTARCTICA LT 350ML SH C/12 NPAL</v>
      </c>
      <c r="H923" t="s">
        <v>475</v>
      </c>
      <c r="I92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3" s="9" t="str">
        <f>VLOOKUP(Table1[[#This Row],[Área avaliada]],Endereços!A:B,2,0)</f>
        <v>Área Azul</v>
      </c>
      <c r="K923" t="s">
        <v>510</v>
      </c>
    </row>
    <row r="924" spans="1:11" x14ac:dyDescent="0.3">
      <c r="A924">
        <v>923</v>
      </c>
      <c r="B924" s="1">
        <v>45954.348113425898</v>
      </c>
      <c r="C924" s="1">
        <v>45954.348703703698</v>
      </c>
      <c r="D924" t="s">
        <v>19</v>
      </c>
      <c r="E924" t="s">
        <v>23</v>
      </c>
      <c r="F924" s="2">
        <v>9071</v>
      </c>
      <c r="G924" s="2" t="str">
        <f>VLOOKUP(F924,Produtos!A:B,2,FALSE)</f>
        <v>CARACU LATA 350ML SH C/12 NPAL</v>
      </c>
      <c r="H924" t="s">
        <v>473</v>
      </c>
      <c r="I92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4" s="9" t="str">
        <f>VLOOKUP(Table1[[#This Row],[Área avaliada]],Endereços!A:B,2,0)</f>
        <v>Área Azul</v>
      </c>
      <c r="K924" t="str">
        <f>VLOOKUP(Table1[[#This Row],[Nome do avaliador ]],M:N,2,0)</f>
        <v>A</v>
      </c>
    </row>
    <row r="925" spans="1:11" x14ac:dyDescent="0.3">
      <c r="A925">
        <v>924</v>
      </c>
      <c r="B925" s="1">
        <v>45954.348148148099</v>
      </c>
      <c r="C925" s="1">
        <v>45954.348738425899</v>
      </c>
      <c r="D925" t="s">
        <v>17</v>
      </c>
      <c r="E925" t="s">
        <v>23</v>
      </c>
      <c r="F925" s="2">
        <v>9071</v>
      </c>
      <c r="G925" s="2" t="str">
        <f>VLOOKUP(F925,Produtos!A:B,2,FALSE)</f>
        <v>CARACU LATA 350ML SH C/12 NPAL</v>
      </c>
      <c r="H925" t="s">
        <v>475</v>
      </c>
      <c r="I92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5" s="9" t="str">
        <f>VLOOKUP(Table1[[#This Row],[Área avaliada]],Endereços!A:B,2,0)</f>
        <v>Área Azul</v>
      </c>
      <c r="K925" t="s">
        <v>510</v>
      </c>
    </row>
    <row r="926" spans="1:11" x14ac:dyDescent="0.3">
      <c r="A926">
        <v>925</v>
      </c>
      <c r="B926" s="1">
        <v>45954.349340277797</v>
      </c>
      <c r="C926" s="1">
        <v>45954.350011574097</v>
      </c>
      <c r="D926" t="s">
        <v>19</v>
      </c>
      <c r="E926" t="s">
        <v>23</v>
      </c>
      <c r="F926" s="2">
        <v>9068</v>
      </c>
      <c r="G926" s="2" t="str">
        <f>VLOOKUP(F926,Produtos!A:B,2,FALSE)</f>
        <v>SKOL LATA 350ML SH C/12 NPAL</v>
      </c>
      <c r="H926" t="s">
        <v>473</v>
      </c>
      <c r="I92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6" s="9" t="str">
        <f>VLOOKUP(Table1[[#This Row],[Área avaliada]],Endereços!A:B,2,0)</f>
        <v>Área Azul</v>
      </c>
      <c r="K926" t="str">
        <f>VLOOKUP(Table1[[#This Row],[Nome do avaliador ]],M:N,2,0)</f>
        <v>A</v>
      </c>
    </row>
    <row r="927" spans="1:11" x14ac:dyDescent="0.3">
      <c r="A927">
        <v>926</v>
      </c>
      <c r="B927" s="1">
        <v>45954.349560185197</v>
      </c>
      <c r="C927" s="1">
        <v>45954.350057870397</v>
      </c>
      <c r="D927" t="s">
        <v>515</v>
      </c>
      <c r="E927" t="s">
        <v>23</v>
      </c>
      <c r="F927" s="2">
        <v>17797</v>
      </c>
      <c r="G927" s="2" t="str">
        <f>VLOOKUP(F927,Produtos!A:B,2,FALSE)</f>
        <v>BRAHMA CHOPP LATA 350ML SH 18 MULTIPACK</v>
      </c>
      <c r="H927" t="s">
        <v>475</v>
      </c>
      <c r="I92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7" s="9" t="str">
        <f>VLOOKUP(Table1[[#This Row],[Área avaliada]],Endereços!A:B,2,0)</f>
        <v>Área Azul</v>
      </c>
      <c r="K927" t="s">
        <v>510</v>
      </c>
    </row>
    <row r="928" spans="1:11" x14ac:dyDescent="0.3">
      <c r="A928">
        <v>927</v>
      </c>
      <c r="B928" s="1">
        <v>45954.351354166698</v>
      </c>
      <c r="C928" s="1">
        <v>45954.351851851803</v>
      </c>
      <c r="D928" t="s">
        <v>19</v>
      </c>
      <c r="E928" t="s">
        <v>25</v>
      </c>
      <c r="F928" s="2">
        <v>9276</v>
      </c>
      <c r="G928" s="2" t="str">
        <f>VLOOKUP(F928,Produtos!A:B,2,FALSE)</f>
        <v>PEPSI ZERO PET 2L CX C/6</v>
      </c>
      <c r="H928" t="s">
        <v>473</v>
      </c>
      <c r="I92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8" s="9" t="str">
        <f>VLOOKUP(Table1[[#This Row],[Área avaliada]],Endereços!A:B,2,0)</f>
        <v>Área Azul</v>
      </c>
      <c r="K928" t="str">
        <f>VLOOKUP(Table1[[#This Row],[Nome do avaliador ]],M:N,2,0)</f>
        <v>A</v>
      </c>
    </row>
    <row r="929" spans="1:11" x14ac:dyDescent="0.3">
      <c r="A929">
        <v>928</v>
      </c>
      <c r="B929" s="1">
        <v>45954.3536805556</v>
      </c>
      <c r="C929" s="1">
        <v>45954.354293981502</v>
      </c>
      <c r="D929" t="s">
        <v>19</v>
      </c>
      <c r="E929" t="s">
        <v>20</v>
      </c>
      <c r="F929" s="2">
        <v>9069</v>
      </c>
      <c r="G929" s="2" t="str">
        <f>VLOOKUP(F929,Produtos!A:B,2,FALSE)</f>
        <v>BRAHMA CHOPP LATA 350ML SH C/12 NPAL</v>
      </c>
      <c r="H929" t="s">
        <v>473</v>
      </c>
      <c r="I92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9" s="9" t="str">
        <f>VLOOKUP(Table1[[#This Row],[Área avaliada]],Endereços!A:B,2,0)</f>
        <v>Área Azul</v>
      </c>
      <c r="K929" t="str">
        <f>VLOOKUP(Table1[[#This Row],[Nome do avaliador ]],M:N,2,0)</f>
        <v>A</v>
      </c>
    </row>
    <row r="930" spans="1:11" x14ac:dyDescent="0.3">
      <c r="A930">
        <v>929</v>
      </c>
      <c r="B930" s="1">
        <v>45955.261423611097</v>
      </c>
      <c r="C930" s="1">
        <v>45955.262210648099</v>
      </c>
      <c r="D930" t="s">
        <v>19</v>
      </c>
      <c r="E930" t="s">
        <v>23</v>
      </c>
      <c r="F930" s="2">
        <v>9068</v>
      </c>
      <c r="G930" s="2" t="str">
        <f>VLOOKUP(F930,Produtos!A:B,2,FALSE)</f>
        <v>SKOL LATA 350ML SH C/12 NPAL</v>
      </c>
      <c r="H930" t="s">
        <v>473</v>
      </c>
      <c r="I93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0" s="9" t="str">
        <f>VLOOKUP(Table1[[#This Row],[Área avaliada]],Endereços!A:B,2,0)</f>
        <v>Área Azul</v>
      </c>
      <c r="K930" t="str">
        <f>VLOOKUP(Table1[[#This Row],[Nome do avaliador ]],M:N,2,0)</f>
        <v>A</v>
      </c>
    </row>
    <row r="931" spans="1:11" x14ac:dyDescent="0.3">
      <c r="A931">
        <v>930</v>
      </c>
      <c r="B931" s="1">
        <v>45957.440648148098</v>
      </c>
      <c r="C931" s="1">
        <v>45957.441284722197</v>
      </c>
      <c r="D931" t="s">
        <v>19</v>
      </c>
      <c r="E931" t="s">
        <v>23</v>
      </c>
      <c r="F931" s="2">
        <v>9071</v>
      </c>
      <c r="G931" s="2" t="str">
        <f>VLOOKUP(F931,Produtos!A:B,2,FALSE)</f>
        <v>CARACU LATA 350ML SH C/12 NPAL</v>
      </c>
      <c r="H931" t="s">
        <v>473</v>
      </c>
      <c r="I93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1" s="9" t="str">
        <f>VLOOKUP(Table1[[#This Row],[Área avaliada]],Endereços!A:B,2,0)</f>
        <v>Área Azul</v>
      </c>
      <c r="K931" t="str">
        <f>VLOOKUP(Table1[[#This Row],[Nome do avaliador ]],M:N,2,0)</f>
        <v>A</v>
      </c>
    </row>
    <row r="932" spans="1:11" x14ac:dyDescent="0.3">
      <c r="A932">
        <v>931</v>
      </c>
      <c r="B932" s="1">
        <v>45957.443124999998</v>
      </c>
      <c r="C932" s="1">
        <v>45957.443842592598</v>
      </c>
      <c r="D932" t="s">
        <v>19</v>
      </c>
      <c r="E932" t="s">
        <v>23</v>
      </c>
      <c r="F932" s="2">
        <v>9085</v>
      </c>
      <c r="G932" s="2" t="str">
        <f>VLOOKUP(F932,Produtos!A:B,2,FALSE)</f>
        <v>GUARANA CHP ANTARCT DIET LT350ML SHC/12</v>
      </c>
      <c r="H932" t="s">
        <v>473</v>
      </c>
      <c r="I93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2" s="9" t="str">
        <f>VLOOKUP(Table1[[#This Row],[Área avaliada]],Endereços!A:B,2,0)</f>
        <v>Área Azul</v>
      </c>
      <c r="K932" t="str">
        <f>VLOOKUP(Table1[[#This Row],[Nome do avaliador ]],M:N,2,0)</f>
        <v>A</v>
      </c>
    </row>
    <row r="933" spans="1:11" x14ac:dyDescent="0.3">
      <c r="A933">
        <v>932</v>
      </c>
      <c r="B933" s="1">
        <v>45957.444525462997</v>
      </c>
      <c r="C933" s="1">
        <v>45957.445057870398</v>
      </c>
      <c r="D933" t="s">
        <v>19</v>
      </c>
      <c r="E933" t="s">
        <v>23</v>
      </c>
      <c r="F933" s="2">
        <v>4409</v>
      </c>
      <c r="G933" s="2" t="str">
        <f>VLOOKUP(F933,Produtos!A:B,2,FALSE)</f>
        <v>PEPSI TWIST PET 2L SHRINK C/6</v>
      </c>
      <c r="H933" t="s">
        <v>478</v>
      </c>
      <c r="I93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3" s="9" t="str">
        <f>VLOOKUP(Table1[[#This Row],[Área avaliada]],Endereços!A:B,2,0)</f>
        <v>Área Azul</v>
      </c>
      <c r="K933" t="str">
        <f>VLOOKUP(Table1[[#This Row],[Nome do avaliador ]],M:N,2,0)</f>
        <v>A</v>
      </c>
    </row>
    <row r="934" spans="1:11" x14ac:dyDescent="0.3">
      <c r="A934">
        <v>933</v>
      </c>
      <c r="B934" s="1">
        <v>45957.445486111101</v>
      </c>
      <c r="C934" s="1">
        <v>45957.445925925902</v>
      </c>
      <c r="D934" t="s">
        <v>19</v>
      </c>
      <c r="E934" t="s">
        <v>23</v>
      </c>
      <c r="F934" s="2">
        <v>9096</v>
      </c>
      <c r="G934" s="2" t="str">
        <f>VLOOKUP(F934,Produtos!A:B,2,FALSE)</f>
        <v>PEPSI COLA LATA 350ML SH C/12 NPAL</v>
      </c>
      <c r="H934" t="s">
        <v>473</v>
      </c>
      <c r="I93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4" s="9" t="str">
        <f>VLOOKUP(Table1[[#This Row],[Área avaliada]],Endereços!A:B,2,0)</f>
        <v>Área Azul</v>
      </c>
      <c r="K934" t="str">
        <f>VLOOKUP(Table1[[#This Row],[Nome do avaliador ]],M:N,2,0)</f>
        <v>A</v>
      </c>
    </row>
    <row r="935" spans="1:11" x14ac:dyDescent="0.3">
      <c r="A935">
        <v>934</v>
      </c>
      <c r="B935" s="1">
        <v>45957.447280092601</v>
      </c>
      <c r="C935" s="1">
        <v>45957.447824074101</v>
      </c>
      <c r="D935" t="s">
        <v>19</v>
      </c>
      <c r="E935" t="s">
        <v>23</v>
      </c>
      <c r="F935" s="2">
        <v>33818</v>
      </c>
      <c r="G935" s="2" t="str">
        <f>VLOOKUP(F935,Produtos!A:B,2,FALSE)</f>
        <v>ORIGINAL LT 350ML SH C/12 NP MULTIPACK</v>
      </c>
      <c r="H935" t="s">
        <v>473</v>
      </c>
      <c r="I93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5" s="9" t="str">
        <f>VLOOKUP(Table1[[#This Row],[Área avaliada]],Endereços!A:B,2,0)</f>
        <v>Área Azul</v>
      </c>
      <c r="K935" t="str">
        <f>VLOOKUP(Table1[[#This Row],[Nome do avaliador ]],M:N,2,0)</f>
        <v>A</v>
      </c>
    </row>
    <row r="936" spans="1:11" x14ac:dyDescent="0.3">
      <c r="A936">
        <v>935</v>
      </c>
      <c r="B936" s="1">
        <v>45958.392881944397</v>
      </c>
      <c r="C936" s="1">
        <v>45958.393553240698</v>
      </c>
      <c r="D936" t="s">
        <v>19</v>
      </c>
      <c r="E936" t="s">
        <v>23</v>
      </c>
      <c r="F936" s="2">
        <v>9071</v>
      </c>
      <c r="G936" s="2" t="str">
        <f>VLOOKUP(F936,Produtos!A:B,2,FALSE)</f>
        <v>CARACU LATA 350ML SH C/12 NPAL</v>
      </c>
      <c r="H936" t="s">
        <v>473</v>
      </c>
      <c r="I93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6" s="9" t="str">
        <f>VLOOKUP(Table1[[#This Row],[Área avaliada]],Endereços!A:B,2,0)</f>
        <v>Área Azul</v>
      </c>
      <c r="K936" t="str">
        <f>VLOOKUP(Table1[[#This Row],[Nome do avaliador ]],M:N,2,0)</f>
        <v>A</v>
      </c>
    </row>
    <row r="937" spans="1:11" x14ac:dyDescent="0.3">
      <c r="A937">
        <v>936</v>
      </c>
      <c r="B937" s="1">
        <v>45958.394513888903</v>
      </c>
      <c r="C937" s="1">
        <v>45958.394930555602</v>
      </c>
      <c r="D937" t="s">
        <v>19</v>
      </c>
      <c r="E937" t="s">
        <v>23</v>
      </c>
      <c r="F937" s="2">
        <v>9085</v>
      </c>
      <c r="G937" s="2" t="str">
        <f>VLOOKUP(F937,Produtos!A:B,2,FALSE)</f>
        <v>GUARANA CHP ANTARCT DIET LT350ML SHC/12</v>
      </c>
      <c r="H937" t="s">
        <v>473</v>
      </c>
      <c r="I93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7" s="9" t="str">
        <f>VLOOKUP(Table1[[#This Row],[Área avaliada]],Endereços!A:B,2,0)</f>
        <v>Área Azul</v>
      </c>
      <c r="K937" t="str">
        <f>VLOOKUP(Table1[[#This Row],[Nome do avaliador ]],M:N,2,0)</f>
        <v>A</v>
      </c>
    </row>
    <row r="938" spans="1:11" x14ac:dyDescent="0.3">
      <c r="A938">
        <v>937</v>
      </c>
      <c r="B938" s="1">
        <v>45958.395659722199</v>
      </c>
      <c r="C938" s="1">
        <v>45958.396030092597</v>
      </c>
      <c r="D938" t="s">
        <v>19</v>
      </c>
      <c r="E938" t="s">
        <v>23</v>
      </c>
      <c r="F938" s="2">
        <v>9091</v>
      </c>
      <c r="G938" s="2" t="str">
        <f>VLOOKUP(F938,Produtos!A:B,2,FALSE)</f>
        <v>TONICA ANTARCTICA LT 350ML SH C/12 NPAL</v>
      </c>
      <c r="H938" t="s">
        <v>473</v>
      </c>
      <c r="I93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8" s="9" t="str">
        <f>VLOOKUP(Table1[[#This Row],[Área avaliada]],Endereços!A:B,2,0)</f>
        <v>Área Azul</v>
      </c>
      <c r="K938" t="str">
        <f>VLOOKUP(Table1[[#This Row],[Nome do avaliador ]],M:N,2,0)</f>
        <v>A</v>
      </c>
    </row>
    <row r="939" spans="1:11" x14ac:dyDescent="0.3">
      <c r="A939">
        <v>938</v>
      </c>
      <c r="B939" s="1">
        <v>45958.397349537001</v>
      </c>
      <c r="C939" s="1">
        <v>45958.3977662037</v>
      </c>
      <c r="D939" t="s">
        <v>19</v>
      </c>
      <c r="E939" t="s">
        <v>23</v>
      </c>
      <c r="F939" s="2">
        <v>33818</v>
      </c>
      <c r="G939" s="2" t="str">
        <f>VLOOKUP(F939,Produtos!A:B,2,FALSE)</f>
        <v>ORIGINAL LT 350ML SH C/12 NP MULTIPACK</v>
      </c>
      <c r="H939" t="s">
        <v>473</v>
      </c>
      <c r="I93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9" s="9" t="str">
        <f>VLOOKUP(Table1[[#This Row],[Área avaliada]],Endereços!A:B,2,0)</f>
        <v>Área Azul</v>
      </c>
      <c r="K939" t="str">
        <f>VLOOKUP(Table1[[#This Row],[Nome do avaliador ]],M:N,2,0)</f>
        <v>A</v>
      </c>
    </row>
    <row r="940" spans="1:11" x14ac:dyDescent="0.3">
      <c r="A940">
        <v>939</v>
      </c>
      <c r="B940" s="1">
        <v>45958.399363425902</v>
      </c>
      <c r="C940" s="1">
        <v>45958.400000000001</v>
      </c>
      <c r="D940" t="s">
        <v>19</v>
      </c>
      <c r="E940" t="s">
        <v>25</v>
      </c>
      <c r="F940" s="2">
        <v>9067</v>
      </c>
      <c r="G940" s="2" t="str">
        <f>VLOOKUP(F940,Produtos!A:B,2,FALSE)</f>
        <v>ANTARCTICA PILSEN LATA 350ML SH C/12 NPA</v>
      </c>
      <c r="H940" t="s">
        <v>473</v>
      </c>
      <c r="I94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0" s="9" t="str">
        <f>VLOOKUP(Table1[[#This Row],[Área avaliada]],Endereços!A:B,2,0)</f>
        <v>Área Azul</v>
      </c>
      <c r="K940" t="str">
        <f>VLOOKUP(Table1[[#This Row],[Nome do avaliador ]],M:N,2,0)</f>
        <v>A</v>
      </c>
    </row>
    <row r="941" spans="1:11" x14ac:dyDescent="0.3">
      <c r="A941">
        <v>940</v>
      </c>
      <c r="B941" s="1">
        <v>45959.385937500003</v>
      </c>
      <c r="C941" s="1">
        <v>45959.386400463001</v>
      </c>
      <c r="D941" t="s">
        <v>19</v>
      </c>
      <c r="E941" t="s">
        <v>23</v>
      </c>
      <c r="F941" s="2">
        <v>9071</v>
      </c>
      <c r="G941" s="2" t="str">
        <f>VLOOKUP(F941,Produtos!A:B,2,FALSE)</f>
        <v>CARACU LATA 350ML SH C/12 NPAL</v>
      </c>
      <c r="H941" t="s">
        <v>473</v>
      </c>
      <c r="I94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1" s="9" t="str">
        <f>VLOOKUP(Table1[[#This Row],[Área avaliada]],Endereços!A:B,2,0)</f>
        <v>Área Azul</v>
      </c>
      <c r="K941" t="str">
        <f>VLOOKUP(Table1[[#This Row],[Nome do avaliador ]],M:N,2,0)</f>
        <v>A</v>
      </c>
    </row>
    <row r="942" spans="1:11" x14ac:dyDescent="0.3">
      <c r="A942">
        <v>941</v>
      </c>
      <c r="B942" s="1">
        <v>45959.391041666699</v>
      </c>
      <c r="C942" s="1">
        <v>45959.391550925902</v>
      </c>
      <c r="D942" t="s">
        <v>19</v>
      </c>
      <c r="E942" t="s">
        <v>20</v>
      </c>
      <c r="F942" s="2">
        <v>14135</v>
      </c>
      <c r="G942" s="2" t="str">
        <f>VLOOKUP(F942,Produtos!A:B,2,FALSE)</f>
        <v>BUDWEISER LT 473ML SIX-PACK SH C/2 NPAL</v>
      </c>
      <c r="H942" t="s">
        <v>473</v>
      </c>
      <c r="I94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2" s="9" t="str">
        <f>VLOOKUP(Table1[[#This Row],[Área avaliada]],Endereços!A:B,2,0)</f>
        <v>Área Azul</v>
      </c>
      <c r="K942" t="str">
        <f>VLOOKUP(Table1[[#This Row],[Nome do avaliador ]],M:N,2,0)</f>
        <v>A</v>
      </c>
    </row>
    <row r="943" spans="1:11" x14ac:dyDescent="0.3">
      <c r="A943">
        <v>942</v>
      </c>
      <c r="B943" s="1">
        <v>45959.391655092601</v>
      </c>
      <c r="C943" s="1">
        <v>45959.3921990741</v>
      </c>
      <c r="D943" t="s">
        <v>17</v>
      </c>
      <c r="E943" t="s">
        <v>20</v>
      </c>
      <c r="F943" s="2">
        <v>14135</v>
      </c>
      <c r="G943" s="2" t="str">
        <f>VLOOKUP(F943,Produtos!A:B,2,FALSE)</f>
        <v>BUDWEISER LT 473ML SIX-PACK SH C/2 NPAL</v>
      </c>
      <c r="H943" t="s">
        <v>475</v>
      </c>
      <c r="I94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3" s="9" t="str">
        <f>VLOOKUP(Table1[[#This Row],[Área avaliada]],Endereços!A:B,2,0)</f>
        <v>Área Azul</v>
      </c>
      <c r="K943" t="s">
        <v>510</v>
      </c>
    </row>
    <row r="944" spans="1:11" x14ac:dyDescent="0.3">
      <c r="A944">
        <v>943</v>
      </c>
      <c r="B944" s="1">
        <v>45960.530960648102</v>
      </c>
      <c r="C944" s="1">
        <v>45960.531435185199</v>
      </c>
      <c r="D944" t="s">
        <v>19</v>
      </c>
      <c r="E944" t="s">
        <v>25</v>
      </c>
      <c r="F944" s="2">
        <v>17797</v>
      </c>
      <c r="G944" s="2" t="str">
        <f>VLOOKUP(F944,Produtos!A:B,2,FALSE)</f>
        <v>BRAHMA CHOPP LATA 350ML SH 18 MULTIPACK</v>
      </c>
      <c r="H944" t="s">
        <v>473</v>
      </c>
      <c r="I94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4" s="9" t="str">
        <f>VLOOKUP(Table1[[#This Row],[Área avaliada]],Endereços!A:B,2,0)</f>
        <v>Área Azul</v>
      </c>
      <c r="K944" t="str">
        <f>VLOOKUP(Table1[[#This Row],[Nome do avaliador ]],M:N,2,0)</f>
        <v>A</v>
      </c>
    </row>
    <row r="945" spans="1:11" x14ac:dyDescent="0.3">
      <c r="A945">
        <v>944</v>
      </c>
      <c r="B945" s="1">
        <v>45960.534293981502</v>
      </c>
      <c r="C945" s="1">
        <v>45960.535034722197</v>
      </c>
      <c r="D945" t="s">
        <v>19</v>
      </c>
      <c r="E945" t="s">
        <v>20</v>
      </c>
      <c r="F945" s="2">
        <v>9274</v>
      </c>
      <c r="G945" s="2" t="str">
        <f>VLOOKUP(F945,Produtos!A:B,2,FALSE)</f>
        <v>PEPSI ZERO LATA 350ML SH C/12 NPAL</v>
      </c>
      <c r="H945" t="s">
        <v>473</v>
      </c>
      <c r="I94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5" s="9" t="str">
        <f>VLOOKUP(Table1[[#This Row],[Área avaliada]],Endereços!A:B,2,0)</f>
        <v>Área Azul</v>
      </c>
      <c r="K945" t="str">
        <f>VLOOKUP(Table1[[#This Row],[Nome do avaliador ]],M:N,2,0)</f>
        <v>A</v>
      </c>
    </row>
    <row r="946" spans="1:11" x14ac:dyDescent="0.3">
      <c r="A946">
        <v>945</v>
      </c>
      <c r="B946" s="1">
        <v>45960.535081018497</v>
      </c>
      <c r="C946" s="1">
        <v>45960.535717592596</v>
      </c>
      <c r="D946" t="s">
        <v>19</v>
      </c>
      <c r="E946" t="s">
        <v>23</v>
      </c>
      <c r="F946" s="2">
        <v>23216</v>
      </c>
      <c r="G946" s="2" t="str">
        <f>VLOOKUP(F946,Produtos!A:B,2,FALSE)</f>
        <v>PATAGONIA IPA LATA 473ML 6PACK CARTAO</v>
      </c>
      <c r="H946" t="s">
        <v>473</v>
      </c>
      <c r="I94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6" s="9" t="str">
        <f>VLOOKUP(Table1[[#This Row],[Área avaliada]],Endereços!A:B,2,0)</f>
        <v>Área Azul</v>
      </c>
      <c r="K946" t="str">
        <f>VLOOKUP(Table1[[#This Row],[Nome do avaliador ]],M:N,2,0)</f>
        <v>A</v>
      </c>
    </row>
    <row r="947" spans="1:11" x14ac:dyDescent="0.3">
      <c r="A947">
        <v>946</v>
      </c>
      <c r="B947" s="1">
        <v>45960.616851851897</v>
      </c>
      <c r="C947" s="1">
        <v>45960.617488425902</v>
      </c>
      <c r="D947" t="s">
        <v>17</v>
      </c>
      <c r="E947" t="s">
        <v>23</v>
      </c>
      <c r="F947" s="2">
        <v>21119</v>
      </c>
      <c r="G947" s="2" t="str">
        <f>VLOOKUP(F947,Produtos!A:B,2,FALSE)</f>
        <v>SKOL BEATS GT LT 269ML CX CAR C/8</v>
      </c>
      <c r="H947" t="s">
        <v>475</v>
      </c>
      <c r="I94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7" s="9" t="str">
        <f>VLOOKUP(Table1[[#This Row],[Área avaliada]],Endereços!A:B,2,0)</f>
        <v>Área Azul</v>
      </c>
      <c r="K947" t="s">
        <v>510</v>
      </c>
    </row>
    <row r="948" spans="1:11" x14ac:dyDescent="0.3">
      <c r="A948">
        <v>947</v>
      </c>
      <c r="B948" s="1">
        <v>45960.617511574099</v>
      </c>
      <c r="C948" s="1">
        <v>45960.618032407401</v>
      </c>
      <c r="D948" t="s">
        <v>17</v>
      </c>
      <c r="E948" t="s">
        <v>23</v>
      </c>
      <c r="F948" s="2">
        <v>26462</v>
      </c>
      <c r="G948" s="2" t="str">
        <f>VLOOKUP(F948,Produtos!A:B,2,FALSE)</f>
        <v>ORIGINAL LT 473ML CX CARTAO C/12</v>
      </c>
      <c r="H948" t="s">
        <v>475</v>
      </c>
      <c r="I94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8" s="9" t="str">
        <f>VLOOKUP(Table1[[#This Row],[Área avaliada]],Endereços!A:B,2,0)</f>
        <v>Área Azul</v>
      </c>
      <c r="K948" t="s">
        <v>510</v>
      </c>
    </row>
    <row r="949" spans="1:11" x14ac:dyDescent="0.3">
      <c r="A949">
        <v>948</v>
      </c>
      <c r="B949" s="1">
        <v>45960.6180439815</v>
      </c>
      <c r="C949" s="1">
        <v>45960.619004629603</v>
      </c>
      <c r="D949" t="s">
        <v>17</v>
      </c>
      <c r="E949" t="s">
        <v>23</v>
      </c>
      <c r="F949" s="2">
        <v>9085</v>
      </c>
      <c r="G949" s="2" t="str">
        <f>VLOOKUP(F949,Produtos!A:B,2,FALSE)</f>
        <v>GUARANA CHP ANTARCT DIET LT350ML SHC/12</v>
      </c>
      <c r="H949" t="s">
        <v>475</v>
      </c>
      <c r="I94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9" s="9" t="str">
        <f>VLOOKUP(Table1[[#This Row],[Área avaliada]],Endereços!A:B,2,0)</f>
        <v>Área Azul</v>
      </c>
      <c r="K949" t="s">
        <v>510</v>
      </c>
    </row>
    <row r="950" spans="1:11" x14ac:dyDescent="0.3">
      <c r="A950">
        <v>949</v>
      </c>
      <c r="B950" s="1">
        <v>45961.288124999999</v>
      </c>
      <c r="C950" s="1">
        <v>45961.288576388899</v>
      </c>
      <c r="D950" t="s">
        <v>19</v>
      </c>
      <c r="E950" t="s">
        <v>23</v>
      </c>
      <c r="F950" s="2">
        <v>21658</v>
      </c>
      <c r="G950" s="2" t="str">
        <f>VLOOKUP(F950,Produtos!A:B,2,FALSE)</f>
        <v>SPATEN N LT SLEEK 350ML CX CART C12</v>
      </c>
      <c r="H950" t="s">
        <v>473</v>
      </c>
      <c r="I95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50" s="9" t="str">
        <f>VLOOKUP(Table1[[#This Row],[Área avaliada]],Endereços!A:B,2,0)</f>
        <v>Área Azul</v>
      </c>
      <c r="K950" t="str">
        <f>VLOOKUP(Table1[[#This Row],[Nome do avaliador ]],M:N,2,0)</f>
        <v>A</v>
      </c>
    </row>
    <row r="951" spans="1:11" x14ac:dyDescent="0.3">
      <c r="A951">
        <v>950</v>
      </c>
      <c r="B951" s="1">
        <v>45961.4079166667</v>
      </c>
      <c r="C951" s="1">
        <v>45961.408460648097</v>
      </c>
      <c r="D951" t="s">
        <v>19</v>
      </c>
      <c r="E951" t="s">
        <v>23</v>
      </c>
      <c r="F951" s="2">
        <v>20498</v>
      </c>
      <c r="G951" s="2" t="str">
        <f>VLOOKUP(F951,Produtos!A:B,2,FALSE)</f>
        <v>BRAHMA DUPLO MALTE LT SLEEK 350ML SH C12</v>
      </c>
      <c r="H951" t="s">
        <v>473</v>
      </c>
      <c r="I95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51" s="9" t="str">
        <f>VLOOKUP(Table1[[#This Row],[Área avaliada]],Endereços!A:B,2,0)</f>
        <v>Área Azul</v>
      </c>
      <c r="K951" t="str">
        <f>VLOOKUP(Table1[[#This Row],[Nome do avaliador ]],M:N,2,0)</f>
        <v>A</v>
      </c>
    </row>
    <row r="952" spans="1:11" x14ac:dyDescent="0.3">
      <c r="A952">
        <v>951</v>
      </c>
      <c r="B952" s="1">
        <v>45962.264594907399</v>
      </c>
      <c r="C952" s="1">
        <v>45962.265162037002</v>
      </c>
      <c r="D952" t="s">
        <v>17</v>
      </c>
      <c r="E952" t="s">
        <v>23</v>
      </c>
      <c r="F952" s="2">
        <v>14135</v>
      </c>
      <c r="G952" s="2" t="str">
        <f>VLOOKUP(F952,Produtos!A:B,2,FALSE)</f>
        <v>BUDWEISER LT 473ML SIX-PACK SH C/2 NPAL</v>
      </c>
      <c r="H952" t="s">
        <v>475</v>
      </c>
      <c r="I95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2" s="9" t="str">
        <f>VLOOKUP(Table1[[#This Row],[Área avaliada]],Endereços!A:B,2,0)</f>
        <v>Área Azul</v>
      </c>
      <c r="K952" t="s">
        <v>510</v>
      </c>
    </row>
    <row r="953" spans="1:11" x14ac:dyDescent="0.3">
      <c r="A953">
        <v>952</v>
      </c>
      <c r="B953" s="1">
        <v>45962.267384259299</v>
      </c>
      <c r="C953" s="1">
        <v>45962.267939814803</v>
      </c>
      <c r="D953" t="s">
        <v>17</v>
      </c>
      <c r="E953" t="s">
        <v>20</v>
      </c>
      <c r="F953" s="2">
        <v>9084</v>
      </c>
      <c r="G953" s="2" t="str">
        <f>VLOOKUP(F953,Produtos!A:B,2,FALSE)</f>
        <v>GUARANA CHP ANTARCT LT350ML SH C/12 NPAL</v>
      </c>
      <c r="H953" t="s">
        <v>475</v>
      </c>
      <c r="I95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3" s="9" t="str">
        <f>VLOOKUP(Table1[[#This Row],[Área avaliada]],Endereços!A:B,2,0)</f>
        <v>Área Azul</v>
      </c>
      <c r="K953" t="s">
        <v>510</v>
      </c>
    </row>
    <row r="954" spans="1:11" x14ac:dyDescent="0.3">
      <c r="A954">
        <v>953</v>
      </c>
      <c r="B954" s="1">
        <v>45962.269201388903</v>
      </c>
      <c r="C954" s="1">
        <v>45962.269699074102</v>
      </c>
      <c r="D954" t="s">
        <v>17</v>
      </c>
      <c r="E954" t="s">
        <v>20</v>
      </c>
      <c r="F954" s="2">
        <v>19310</v>
      </c>
      <c r="G954" s="2" t="str">
        <f>VLOOKUP(F954,Produtos!A:B,2,FALSE)</f>
        <v>ORIGINAL LATA 350ML CX CARTAO C/12 NPAL</v>
      </c>
      <c r="H954" t="s">
        <v>476</v>
      </c>
      <c r="I95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4" s="9" t="str">
        <f>VLOOKUP(Table1[[#This Row],[Área avaliada]],Endereços!A:B,2,0)</f>
        <v>Área Azul</v>
      </c>
      <c r="K954" t="s">
        <v>510</v>
      </c>
    </row>
    <row r="955" spans="1:11" x14ac:dyDescent="0.3">
      <c r="A955">
        <v>954</v>
      </c>
      <c r="B955" s="1">
        <v>45962.368831018503</v>
      </c>
      <c r="C955" s="1">
        <v>45962.369444444397</v>
      </c>
      <c r="D955" t="s">
        <v>7</v>
      </c>
      <c r="E955" t="s">
        <v>18</v>
      </c>
      <c r="G955" t="e">
        <f>VLOOKUP(F955,Produtos!A:B,2,FALSE)</f>
        <v>#N/A</v>
      </c>
      <c r="H955" t="s">
        <v>487</v>
      </c>
      <c r="I95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5" s="9" t="str">
        <f>VLOOKUP(Table1[[#This Row],[Área avaliada]],Endereços!A:B,2,0)</f>
        <v>Área Vermelho</v>
      </c>
      <c r="K955" t="str">
        <f>VLOOKUP(Table1[[#This Row],[Nome do avaliador ]],M:N,2,0)</f>
        <v>A</v>
      </c>
    </row>
    <row r="956" spans="1:11" x14ac:dyDescent="0.3">
      <c r="A956">
        <v>955</v>
      </c>
      <c r="B956" s="1">
        <v>45964.449398148099</v>
      </c>
      <c r="C956" s="1">
        <v>45964.449872685203</v>
      </c>
      <c r="D956" t="s">
        <v>19</v>
      </c>
      <c r="E956" t="s">
        <v>23</v>
      </c>
      <c r="F956" s="2">
        <v>9068</v>
      </c>
      <c r="G956" s="2" t="str">
        <f>VLOOKUP(F956,Produtos!A:B,2,FALSE)</f>
        <v>SKOL LATA 350ML SH C/12 NPAL</v>
      </c>
      <c r="H956" t="s">
        <v>473</v>
      </c>
      <c r="I95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6" s="9" t="str">
        <f>VLOOKUP(Table1[[#This Row],[Área avaliada]],Endereços!A:B,2,0)</f>
        <v>Área Azul</v>
      </c>
      <c r="K956" t="str">
        <f>VLOOKUP(Table1[[#This Row],[Nome do avaliador ]],M:N,2,0)</f>
        <v>A</v>
      </c>
    </row>
    <row r="957" spans="1:11" x14ac:dyDescent="0.3">
      <c r="A957">
        <v>956</v>
      </c>
      <c r="B957" s="1">
        <v>45964.449976851902</v>
      </c>
      <c r="C957" s="1">
        <v>45964.450486111098</v>
      </c>
      <c r="D957" t="s">
        <v>19</v>
      </c>
      <c r="E957" t="s">
        <v>23</v>
      </c>
      <c r="F957" s="2">
        <v>21020</v>
      </c>
      <c r="G957" s="2" t="str">
        <f>VLOOKUP(F957,Produtos!A:B,2,FALSE)</f>
        <v>BUDWEISER LT SLEEK 350ML CX CART C12</v>
      </c>
      <c r="H957" t="s">
        <v>473</v>
      </c>
      <c r="I95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7" s="9" t="str">
        <f>VLOOKUP(Table1[[#This Row],[Área avaliada]],Endereços!A:B,2,0)</f>
        <v>Área Azul</v>
      </c>
      <c r="K957" t="str">
        <f>VLOOKUP(Table1[[#This Row],[Nome do avaliador ]],M:N,2,0)</f>
        <v>A</v>
      </c>
    </row>
    <row r="958" spans="1:11" x14ac:dyDescent="0.3">
      <c r="A958">
        <v>957</v>
      </c>
      <c r="B958" s="1">
        <v>45964.452685185199</v>
      </c>
      <c r="C958" s="1">
        <v>45964.453101851803</v>
      </c>
      <c r="D958" t="s">
        <v>19</v>
      </c>
      <c r="E958" t="s">
        <v>23</v>
      </c>
      <c r="F958" s="2">
        <v>20498</v>
      </c>
      <c r="G958" s="2" t="str">
        <f>VLOOKUP(F958,Produtos!A:B,2,FALSE)</f>
        <v>BRAHMA DUPLO MALTE LT SLEEK 350ML SH C12</v>
      </c>
      <c r="H958" t="s">
        <v>473</v>
      </c>
      <c r="I95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8" s="9" t="str">
        <f>VLOOKUP(Table1[[#This Row],[Área avaliada]],Endereços!A:B,2,0)</f>
        <v>Área Azul</v>
      </c>
      <c r="K958" t="str">
        <f>VLOOKUP(Table1[[#This Row],[Nome do avaliador ]],M:N,2,0)</f>
        <v>A</v>
      </c>
    </row>
    <row r="959" spans="1:11" x14ac:dyDescent="0.3">
      <c r="A959">
        <v>958</v>
      </c>
      <c r="B959" s="1">
        <v>45965.620509259301</v>
      </c>
      <c r="C959" s="1">
        <v>45965.621111111097</v>
      </c>
      <c r="D959" t="s">
        <v>17</v>
      </c>
      <c r="E959" t="s">
        <v>23</v>
      </c>
      <c r="F959" s="2">
        <v>1164</v>
      </c>
      <c r="G959" s="2" t="str">
        <f>VLOOKUP(F959,Produtos!A:B,2,FALSE)</f>
        <v>SUKITA UVA LATA 350ML SH C/12 NPAL</v>
      </c>
      <c r="H959" t="s">
        <v>475</v>
      </c>
      <c r="I95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9" s="9" t="str">
        <f>VLOOKUP(Table1[[#This Row],[Área avaliada]],Endereços!A:B,2,0)</f>
        <v>Área Azul</v>
      </c>
      <c r="K959" t="s">
        <v>510</v>
      </c>
    </row>
    <row r="960" spans="1:11" x14ac:dyDescent="0.3">
      <c r="A960">
        <v>959</v>
      </c>
      <c r="B960" s="1">
        <v>45965.621145833298</v>
      </c>
      <c r="C960" s="1">
        <v>45965.621712963002</v>
      </c>
      <c r="D960" t="s">
        <v>17</v>
      </c>
      <c r="E960" t="s">
        <v>33</v>
      </c>
      <c r="F960" s="2">
        <v>18807</v>
      </c>
      <c r="G960" s="2" t="str">
        <f>VLOOKUP(F960,Produtos!A:B,2,FALSE)</f>
        <v>STELLA ARTOIS LN 330ML 6PACK SHR C 4</v>
      </c>
      <c r="H960" t="s">
        <v>475</v>
      </c>
      <c r="I96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0" s="9" t="str">
        <f>VLOOKUP(Table1[[#This Row],[Área avaliada]],Endereços!A:B,2,0)</f>
        <v>Área Verde</v>
      </c>
      <c r="K960" t="s">
        <v>510</v>
      </c>
    </row>
    <row r="961" spans="1:11" x14ac:dyDescent="0.3">
      <c r="A961">
        <v>960</v>
      </c>
      <c r="B961" s="1">
        <v>45966.191747685203</v>
      </c>
      <c r="C961" s="1">
        <v>45966.192916666703</v>
      </c>
      <c r="D961" t="s">
        <v>26</v>
      </c>
      <c r="E961" t="s">
        <v>23</v>
      </c>
      <c r="F961" s="2">
        <v>22177</v>
      </c>
      <c r="G961" s="2" t="str">
        <f>VLOOKUP(F961,Produtos!A:B,2,FALSE)</f>
        <v>BUDWEISER ZERO LT SLEEK 350ML C8 CX CART</v>
      </c>
      <c r="H961" t="s">
        <v>475</v>
      </c>
      <c r="I96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1" s="9" t="str">
        <f>VLOOKUP(Table1[[#This Row],[Área avaliada]],Endereços!A:B,2,0)</f>
        <v>Área Azul</v>
      </c>
      <c r="K961" t="str">
        <f>VLOOKUP(Table1[[#This Row],[Nome do avaliador ]],M:N,2,0)</f>
        <v>C</v>
      </c>
    </row>
    <row r="962" spans="1:11" x14ac:dyDescent="0.3">
      <c r="A962">
        <v>961</v>
      </c>
      <c r="B962" s="1">
        <v>45966.194722222201</v>
      </c>
      <c r="C962" s="1">
        <v>45966.195694444403</v>
      </c>
      <c r="D962" t="s">
        <v>26</v>
      </c>
      <c r="E962" t="s">
        <v>23</v>
      </c>
      <c r="F962" s="2">
        <v>9083</v>
      </c>
      <c r="G962" s="2" t="str">
        <f>VLOOKUP(F962,Produtos!A:B,2,FALSE)</f>
        <v>SKOL LT 473ML SH C/12 NPAL</v>
      </c>
      <c r="H962" t="s">
        <v>475</v>
      </c>
      <c r="I96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2" s="9" t="str">
        <f>VLOOKUP(Table1[[#This Row],[Área avaliada]],Endereços!A:B,2,0)</f>
        <v>Área Azul</v>
      </c>
      <c r="K962" t="str">
        <f>VLOOKUP(Table1[[#This Row],[Nome do avaliador ]],M:N,2,0)</f>
        <v>C</v>
      </c>
    </row>
    <row r="963" spans="1:11" x14ac:dyDescent="0.3">
      <c r="A963">
        <v>962</v>
      </c>
      <c r="B963" s="1">
        <v>45966.321678240703</v>
      </c>
      <c r="C963" s="1">
        <v>45966.322152777801</v>
      </c>
      <c r="D963" t="s">
        <v>17</v>
      </c>
      <c r="E963" t="s">
        <v>23</v>
      </c>
      <c r="F963" s="2">
        <v>21020</v>
      </c>
      <c r="G963" s="2" t="str">
        <f>VLOOKUP(F963,Produtos!A:B,2,FALSE)</f>
        <v>BUDWEISER LT SLEEK 350ML CX CART C12</v>
      </c>
      <c r="H963" t="s">
        <v>475</v>
      </c>
      <c r="I96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3" s="9" t="str">
        <f>VLOOKUP(Table1[[#This Row],[Área avaliada]],Endereços!A:B,2,0)</f>
        <v>Área Azul</v>
      </c>
      <c r="K963" t="s">
        <v>510</v>
      </c>
    </row>
    <row r="964" spans="1:11" x14ac:dyDescent="0.3">
      <c r="A964">
        <v>963</v>
      </c>
      <c r="B964" s="1">
        <v>45966.321851851797</v>
      </c>
      <c r="C964" s="1">
        <v>45966.322233796302</v>
      </c>
      <c r="D964" t="s">
        <v>19</v>
      </c>
      <c r="E964" t="s">
        <v>23</v>
      </c>
      <c r="F964" s="2">
        <v>9096</v>
      </c>
      <c r="G964" s="2" t="str">
        <f>VLOOKUP(F964,Produtos!A:B,2,FALSE)</f>
        <v>PEPSI COLA LATA 350ML SH C/12 NPAL</v>
      </c>
      <c r="H964" t="s">
        <v>473</v>
      </c>
      <c r="I96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4" s="9" t="str">
        <f>VLOOKUP(Table1[[#This Row],[Área avaliada]],Endereços!A:B,2,0)</f>
        <v>Área Azul</v>
      </c>
      <c r="K964" t="str">
        <f>VLOOKUP(Table1[[#This Row],[Nome do avaliador ]],M:N,2,0)</f>
        <v>A</v>
      </c>
    </row>
    <row r="965" spans="1:11" x14ac:dyDescent="0.3">
      <c r="A965">
        <v>964</v>
      </c>
      <c r="B965" s="1">
        <v>45966.323043981502</v>
      </c>
      <c r="C965" s="1">
        <v>45966.323506944398</v>
      </c>
      <c r="D965" t="s">
        <v>19</v>
      </c>
      <c r="E965" t="s">
        <v>23</v>
      </c>
      <c r="F965" s="2">
        <v>9084</v>
      </c>
      <c r="G965" s="2" t="str">
        <f>VLOOKUP(F965,Produtos!A:B,2,FALSE)</f>
        <v>GUARANA CHP ANTARCT LT350ML SH C/12 NPAL</v>
      </c>
      <c r="H965" t="s">
        <v>473</v>
      </c>
      <c r="I96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5" s="9" t="str">
        <f>VLOOKUP(Table1[[#This Row],[Área avaliada]],Endereços!A:B,2,0)</f>
        <v>Área Azul</v>
      </c>
      <c r="K965" t="str">
        <f>VLOOKUP(Table1[[#This Row],[Nome do avaliador ]],M:N,2,0)</f>
        <v>A</v>
      </c>
    </row>
    <row r="966" spans="1:11" x14ac:dyDescent="0.3">
      <c r="A966">
        <v>965</v>
      </c>
      <c r="B966" s="1">
        <v>45966.325532407398</v>
      </c>
      <c r="C966" s="1">
        <v>45966.326030092598</v>
      </c>
      <c r="D966" t="s">
        <v>19</v>
      </c>
      <c r="E966" t="s">
        <v>20</v>
      </c>
      <c r="F966" s="2">
        <v>9069</v>
      </c>
      <c r="G966" s="2" t="str">
        <f>VLOOKUP(F966,Produtos!A:B,2,FALSE)</f>
        <v>BRAHMA CHOPP LATA 350ML SH C/12 NPAL</v>
      </c>
      <c r="H966" t="s">
        <v>473</v>
      </c>
      <c r="I96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6" s="9" t="str">
        <f>VLOOKUP(Table1[[#This Row],[Área avaliada]],Endereços!A:B,2,0)</f>
        <v>Área Azul</v>
      </c>
      <c r="K966" t="str">
        <f>VLOOKUP(Table1[[#This Row],[Nome do avaliador ]],M:N,2,0)</f>
        <v>A</v>
      </c>
    </row>
    <row r="967" spans="1:11" x14ac:dyDescent="0.3">
      <c r="A967">
        <v>966</v>
      </c>
      <c r="B967" s="1">
        <v>45966.325578703698</v>
      </c>
      <c r="C967" s="1">
        <v>45966.326134259303</v>
      </c>
      <c r="D967" t="s">
        <v>17</v>
      </c>
      <c r="E967" t="s">
        <v>25</v>
      </c>
      <c r="F967" s="2">
        <v>9067</v>
      </c>
      <c r="G967" s="2" t="str">
        <f>VLOOKUP(F967,Produtos!A:B,2,FALSE)</f>
        <v>ANTARCTICA PILSEN LATA 350ML SH C/12 NPA</v>
      </c>
      <c r="H967" t="s">
        <v>475</v>
      </c>
      <c r="I96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7" s="9" t="str">
        <f>VLOOKUP(Table1[[#This Row],[Área avaliada]],Endereços!A:B,2,0)</f>
        <v>Área Azul</v>
      </c>
      <c r="K967" t="s">
        <v>510</v>
      </c>
    </row>
    <row r="968" spans="1:11" x14ac:dyDescent="0.3">
      <c r="A968">
        <v>967</v>
      </c>
      <c r="B968" s="1">
        <v>45966.326932870397</v>
      </c>
      <c r="C968" s="1">
        <v>45966.3274537037</v>
      </c>
      <c r="D968" t="s">
        <v>19</v>
      </c>
      <c r="E968" t="s">
        <v>20</v>
      </c>
      <c r="F968" s="2">
        <v>9320</v>
      </c>
      <c r="G968" s="2" t="str">
        <f>VLOOKUP(F968,Produtos!A:B,2,FALSE)</f>
        <v>BRAHMA CHOPP LT 473ML SH C/12 NPAL</v>
      </c>
      <c r="H968" t="s">
        <v>474</v>
      </c>
      <c r="I96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8" s="9" t="str">
        <f>VLOOKUP(Table1[[#This Row],[Área avaliada]],Endereços!A:B,2,0)</f>
        <v>Área Azul</v>
      </c>
      <c r="K968" t="str">
        <f>VLOOKUP(Table1[[#This Row],[Nome do avaliador ]],M:N,2,0)</f>
        <v>A</v>
      </c>
    </row>
    <row r="969" spans="1:11" x14ac:dyDescent="0.3">
      <c r="A969">
        <v>968</v>
      </c>
      <c r="B969" s="1">
        <v>45966.328379629602</v>
      </c>
      <c r="C969" s="1">
        <v>45966.328819444403</v>
      </c>
      <c r="D969" t="s">
        <v>19</v>
      </c>
      <c r="E969" t="s">
        <v>20</v>
      </c>
      <c r="F969" s="2">
        <v>9069</v>
      </c>
      <c r="G969" s="2" t="str">
        <f>VLOOKUP(F969,Produtos!A:B,2,FALSE)</f>
        <v>BRAHMA CHOPP LATA 350ML SH C/12 NPAL</v>
      </c>
      <c r="H969" t="s">
        <v>473</v>
      </c>
      <c r="I96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9" s="9" t="str">
        <f>VLOOKUP(Table1[[#This Row],[Área avaliada]],Endereços!A:B,2,0)</f>
        <v>Área Azul</v>
      </c>
      <c r="K969" t="str">
        <f>VLOOKUP(Table1[[#This Row],[Nome do avaliador ]],M:N,2,0)</f>
        <v>A</v>
      </c>
    </row>
    <row r="970" spans="1:11" x14ac:dyDescent="0.3">
      <c r="A970">
        <v>969</v>
      </c>
      <c r="B970" s="1">
        <v>45966.338668981502</v>
      </c>
      <c r="C970" s="1">
        <v>45966.339143518497</v>
      </c>
      <c r="D970" t="s">
        <v>19</v>
      </c>
      <c r="E970" t="s">
        <v>23</v>
      </c>
      <c r="F970" s="2">
        <v>9071</v>
      </c>
      <c r="G970" s="2" t="str">
        <f>VLOOKUP(F970,Produtos!A:B,2,FALSE)</f>
        <v>CARACU LATA 350ML SH C/12 NPAL</v>
      </c>
      <c r="H970" t="s">
        <v>473</v>
      </c>
      <c r="I97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0" s="9" t="str">
        <f>VLOOKUP(Table1[[#This Row],[Área avaliada]],Endereços!A:B,2,0)</f>
        <v>Área Azul</v>
      </c>
      <c r="K970" t="str">
        <f>VLOOKUP(Table1[[#This Row],[Nome do avaliador ]],M:N,2,0)</f>
        <v>A</v>
      </c>
    </row>
    <row r="971" spans="1:11" x14ac:dyDescent="0.3">
      <c r="A971">
        <v>970</v>
      </c>
      <c r="B971" s="1">
        <v>45966.342187499999</v>
      </c>
      <c r="C971" s="1">
        <v>45966.342557870397</v>
      </c>
      <c r="D971" t="s">
        <v>19</v>
      </c>
      <c r="E971" t="s">
        <v>23</v>
      </c>
      <c r="F971" s="2">
        <v>9071</v>
      </c>
      <c r="G971" s="2" t="str">
        <f>VLOOKUP(F971,Produtos!A:B,2,FALSE)</f>
        <v>CARACU LATA 350ML SH C/12 NPAL</v>
      </c>
      <c r="H971" t="s">
        <v>473</v>
      </c>
      <c r="I97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1" s="9" t="str">
        <f>VLOOKUP(Table1[[#This Row],[Área avaliada]],Endereços!A:B,2,0)</f>
        <v>Área Azul</v>
      </c>
      <c r="K971" t="str">
        <f>VLOOKUP(Table1[[#This Row],[Nome do avaliador ]],M:N,2,0)</f>
        <v>A</v>
      </c>
    </row>
    <row r="972" spans="1:11" x14ac:dyDescent="0.3">
      <c r="A972">
        <v>971</v>
      </c>
      <c r="B972" s="1">
        <v>45966.608796296299</v>
      </c>
      <c r="C972" s="1">
        <v>45966.609351851803</v>
      </c>
      <c r="D972" t="s">
        <v>17</v>
      </c>
      <c r="E972" t="s">
        <v>23</v>
      </c>
      <c r="F972" s="2">
        <v>9071</v>
      </c>
      <c r="G972" s="2" t="str">
        <f>VLOOKUP(F972,Produtos!A:B,2,FALSE)</f>
        <v>CARACU LATA 350ML SH C/12 NPAL</v>
      </c>
      <c r="H972" t="s">
        <v>475</v>
      </c>
      <c r="I97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2" s="9" t="str">
        <f>VLOOKUP(Table1[[#This Row],[Área avaliada]],Endereços!A:B,2,0)</f>
        <v>Área Azul</v>
      </c>
      <c r="K972" t="s">
        <v>510</v>
      </c>
    </row>
    <row r="973" spans="1:11" x14ac:dyDescent="0.3">
      <c r="A973">
        <v>972</v>
      </c>
      <c r="B973" s="1">
        <v>45966.609409722201</v>
      </c>
      <c r="C973" s="1">
        <v>45966.6100462963</v>
      </c>
      <c r="D973" t="s">
        <v>17</v>
      </c>
      <c r="E973" t="s">
        <v>25</v>
      </c>
      <c r="F973" s="2">
        <v>9069</v>
      </c>
      <c r="G973" s="2" t="str">
        <f>VLOOKUP(F973,Produtos!A:B,2,FALSE)</f>
        <v>BRAHMA CHOPP LATA 350ML SH C/12 NPAL</v>
      </c>
      <c r="H973" t="s">
        <v>475</v>
      </c>
      <c r="I97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3" s="9" t="str">
        <f>VLOOKUP(Table1[[#This Row],[Área avaliada]],Endereços!A:B,2,0)</f>
        <v>Área Azul</v>
      </c>
      <c r="K973" t="s">
        <v>510</v>
      </c>
    </row>
    <row r="974" spans="1:11" x14ac:dyDescent="0.3">
      <c r="A974">
        <v>973</v>
      </c>
      <c r="B974" s="1">
        <v>45966.610069444403</v>
      </c>
      <c r="C974" s="1">
        <v>45966.610787037003</v>
      </c>
      <c r="D974" t="s">
        <v>17</v>
      </c>
      <c r="E974" t="s">
        <v>25</v>
      </c>
      <c r="F974" s="2">
        <v>26699</v>
      </c>
      <c r="G974" s="2" t="str">
        <f>VLOOKUP(F974,Produtos!A:B,2,FALSE)</f>
        <v>GUAR. CHP ANT PET 2,25L SH C6 250ML GRAT</v>
      </c>
      <c r="H974" t="s">
        <v>475</v>
      </c>
      <c r="I97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4" s="9" t="str">
        <f>VLOOKUP(Table1[[#This Row],[Área avaliada]],Endereços!A:B,2,0)</f>
        <v>Área Azul</v>
      </c>
      <c r="K974" t="s">
        <v>510</v>
      </c>
    </row>
    <row r="975" spans="1:11" x14ac:dyDescent="0.3">
      <c r="A975">
        <v>974</v>
      </c>
      <c r="B975" s="1">
        <v>45967.384583333303</v>
      </c>
      <c r="C975" s="1">
        <v>45967.385081018503</v>
      </c>
      <c r="D975" t="s">
        <v>17</v>
      </c>
      <c r="E975" t="s">
        <v>23</v>
      </c>
      <c r="F975" s="2">
        <v>17797</v>
      </c>
      <c r="G975" s="2" t="str">
        <f>VLOOKUP(F975,Produtos!A:B,2,FALSE)</f>
        <v>BRAHMA CHOPP LATA 350ML SH 18 MULTIPACK</v>
      </c>
      <c r="H975" t="s">
        <v>475</v>
      </c>
      <c r="I97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5" s="9" t="str">
        <f>VLOOKUP(Table1[[#This Row],[Área avaliada]],Endereços!A:B,2,0)</f>
        <v>Área Azul</v>
      </c>
      <c r="K975" t="s">
        <v>510</v>
      </c>
    </row>
    <row r="976" spans="1:11" x14ac:dyDescent="0.3">
      <c r="A976">
        <v>975</v>
      </c>
      <c r="B976" s="1">
        <v>45967.387372685203</v>
      </c>
      <c r="C976" s="1">
        <v>45967.388055555602</v>
      </c>
      <c r="D976" t="s">
        <v>19</v>
      </c>
      <c r="E976" t="s">
        <v>25</v>
      </c>
      <c r="F976" s="2">
        <v>9069</v>
      </c>
      <c r="G976" s="2" t="str">
        <f>VLOOKUP(F976,Produtos!A:B,2,FALSE)</f>
        <v>BRAHMA CHOPP LATA 350ML SH C/12 NPAL</v>
      </c>
      <c r="H976" t="s">
        <v>473</v>
      </c>
      <c r="I97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6" s="9" t="str">
        <f>VLOOKUP(Table1[[#This Row],[Área avaliada]],Endereços!A:B,2,0)</f>
        <v>Área Azul</v>
      </c>
      <c r="K976" t="str">
        <f>VLOOKUP(Table1[[#This Row],[Nome do avaliador ]],M:N,2,0)</f>
        <v>A</v>
      </c>
    </row>
    <row r="977" spans="1:11" x14ac:dyDescent="0.3">
      <c r="A977">
        <v>976</v>
      </c>
      <c r="B977" s="1">
        <v>45967.390509259298</v>
      </c>
      <c r="C977" s="1">
        <v>45967.391018518501</v>
      </c>
      <c r="D977" t="s">
        <v>19</v>
      </c>
      <c r="E977" t="s">
        <v>20</v>
      </c>
      <c r="F977" s="2">
        <v>1166</v>
      </c>
      <c r="G977" s="2" t="str">
        <f>VLOOKUP(F977,Produtos!A:B,2,FALSE)</f>
        <v>SUKITA UVA PET 2L CAIXA C/6</v>
      </c>
      <c r="H977" t="s">
        <v>473</v>
      </c>
      <c r="I97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7" s="9" t="str">
        <f>VLOOKUP(Table1[[#This Row],[Área avaliada]],Endereços!A:B,2,0)</f>
        <v>Área Azul</v>
      </c>
      <c r="K977" t="str">
        <f>VLOOKUP(Table1[[#This Row],[Nome do avaliador ]],M:N,2,0)</f>
        <v>A</v>
      </c>
    </row>
    <row r="978" spans="1:11" x14ac:dyDescent="0.3">
      <c r="A978">
        <v>977</v>
      </c>
      <c r="B978" s="1">
        <v>45968.356342592597</v>
      </c>
      <c r="C978" s="1">
        <v>45968.356782407398</v>
      </c>
      <c r="D978" t="s">
        <v>19</v>
      </c>
      <c r="E978" t="s">
        <v>25</v>
      </c>
      <c r="F978" s="2">
        <v>9068</v>
      </c>
      <c r="G978" s="2" t="str">
        <f>VLOOKUP(F978,Produtos!A:B,2,FALSE)</f>
        <v>SKOL LATA 350ML SH C/12 NPAL</v>
      </c>
      <c r="H978" t="s">
        <v>473</v>
      </c>
      <c r="I97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8" s="9" t="str">
        <f>VLOOKUP(Table1[[#This Row],[Área avaliada]],Endereços!A:B,2,0)</f>
        <v>Área Azul</v>
      </c>
      <c r="K978" t="str">
        <f>VLOOKUP(Table1[[#This Row],[Nome do avaliador ]],M:N,2,0)</f>
        <v>A</v>
      </c>
    </row>
    <row r="979" spans="1:11" x14ac:dyDescent="0.3">
      <c r="A979">
        <v>978</v>
      </c>
      <c r="B979" s="1">
        <v>45968.358645833301</v>
      </c>
      <c r="C979" s="1">
        <v>45968.359050925901</v>
      </c>
      <c r="D979" t="s">
        <v>19</v>
      </c>
      <c r="E979" t="s">
        <v>23</v>
      </c>
      <c r="F979" s="2">
        <v>9092</v>
      </c>
      <c r="G979" s="2" t="str">
        <f>VLOOKUP(F979,Produtos!A:B,2,FALSE)</f>
        <v>TONICA ANTARCTICA DIET LT350MLSHC/12 PAL</v>
      </c>
      <c r="H979" t="s">
        <v>473</v>
      </c>
      <c r="I97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9" s="9" t="str">
        <f>VLOOKUP(Table1[[#This Row],[Área avaliada]],Endereços!A:B,2,0)</f>
        <v>Área Azul</v>
      </c>
      <c r="K979" t="str">
        <f>VLOOKUP(Table1[[#This Row],[Nome do avaliador ]],M:N,2,0)</f>
        <v>A</v>
      </c>
    </row>
    <row r="980" spans="1:11" x14ac:dyDescent="0.3">
      <c r="A980">
        <v>979</v>
      </c>
      <c r="B980" s="1">
        <v>45968.3594675926</v>
      </c>
      <c r="C980" s="1">
        <v>45968.3598726852</v>
      </c>
      <c r="D980" t="s">
        <v>19</v>
      </c>
      <c r="E980" t="s">
        <v>23</v>
      </c>
      <c r="F980" s="2">
        <v>9083</v>
      </c>
      <c r="G980" s="2" t="str">
        <f>VLOOKUP(F980,Produtos!A:B,2,FALSE)</f>
        <v>SKOL LT 473ML SH C/12 NPAL</v>
      </c>
      <c r="H980" t="s">
        <v>473</v>
      </c>
      <c r="I98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0" s="9" t="str">
        <f>VLOOKUP(Table1[[#This Row],[Área avaliada]],Endereços!A:B,2,0)</f>
        <v>Área Azul</v>
      </c>
      <c r="K980" t="str">
        <f>VLOOKUP(Table1[[#This Row],[Nome do avaliador ]],M:N,2,0)</f>
        <v>A</v>
      </c>
    </row>
    <row r="981" spans="1:11" x14ac:dyDescent="0.3">
      <c r="A981">
        <v>980</v>
      </c>
      <c r="B981" s="1">
        <v>45968.362418981502</v>
      </c>
      <c r="C981" s="1">
        <v>45968.362916666701</v>
      </c>
      <c r="D981" t="s">
        <v>19</v>
      </c>
      <c r="E981" t="s">
        <v>25</v>
      </c>
      <c r="F981" s="2">
        <v>9069</v>
      </c>
      <c r="G981" s="2" t="str">
        <f>VLOOKUP(F981,Produtos!A:B,2,FALSE)</f>
        <v>BRAHMA CHOPP LATA 350ML SH C/12 NPAL</v>
      </c>
      <c r="H981" t="s">
        <v>473</v>
      </c>
      <c r="I98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1" s="9" t="str">
        <f>VLOOKUP(Table1[[#This Row],[Área avaliada]],Endereços!A:B,2,0)</f>
        <v>Área Azul</v>
      </c>
      <c r="K981" t="str">
        <f>VLOOKUP(Table1[[#This Row],[Nome do avaliador ]],M:N,2,0)</f>
        <v>A</v>
      </c>
    </row>
    <row r="982" spans="1:11" x14ac:dyDescent="0.3">
      <c r="A982">
        <v>981</v>
      </c>
      <c r="B982" s="1">
        <v>45968.364259259302</v>
      </c>
      <c r="C982" s="1">
        <v>45968.364733796298</v>
      </c>
      <c r="D982" t="s">
        <v>19</v>
      </c>
      <c r="E982" t="s">
        <v>20</v>
      </c>
      <c r="F982" s="2">
        <v>19310</v>
      </c>
      <c r="G982" s="2" t="str">
        <f>VLOOKUP(F982,Produtos!A:B,2,FALSE)</f>
        <v>ORIGINAL LATA 350ML CX CARTAO C/12 NPAL</v>
      </c>
      <c r="H982" t="s">
        <v>473</v>
      </c>
      <c r="I98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2" s="9" t="str">
        <f>VLOOKUP(Table1[[#This Row],[Área avaliada]],Endereços!A:B,2,0)</f>
        <v>Área Azul</v>
      </c>
      <c r="K982" t="str">
        <f>VLOOKUP(Table1[[#This Row],[Nome do avaliador ]],M:N,2,0)</f>
        <v>A</v>
      </c>
    </row>
    <row r="983" spans="1:11" x14ac:dyDescent="0.3">
      <c r="A983">
        <v>982</v>
      </c>
      <c r="B983" s="1">
        <v>45969.268900463001</v>
      </c>
      <c r="C983" s="1">
        <v>45969.269895833299</v>
      </c>
      <c r="D983" t="s">
        <v>19</v>
      </c>
      <c r="E983" t="s">
        <v>23</v>
      </c>
      <c r="F983" s="2">
        <v>9088</v>
      </c>
      <c r="G983" s="2" t="str">
        <f>VLOOKUP(F983,Produtos!A:B,2,FALSE)</f>
        <v>SODA LIMONADA ANTARCT DIET LT350MLSHC/12</v>
      </c>
      <c r="H983" t="s">
        <v>483</v>
      </c>
      <c r="I98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3" s="9" t="str">
        <f>VLOOKUP(Table1[[#This Row],[Área avaliada]],Endereços!A:B,2,0)</f>
        <v>Área Azul</v>
      </c>
      <c r="K983" t="str">
        <f>VLOOKUP(Table1[[#This Row],[Nome do avaliador ]],M:N,2,0)</f>
        <v>A</v>
      </c>
    </row>
    <row r="984" spans="1:11" x14ac:dyDescent="0.3">
      <c r="A984">
        <v>983</v>
      </c>
      <c r="B984" s="1">
        <v>45969.269942129598</v>
      </c>
      <c r="C984" s="1">
        <v>45969.270590277803</v>
      </c>
      <c r="D984" t="s">
        <v>19</v>
      </c>
      <c r="E984" t="s">
        <v>23</v>
      </c>
      <c r="F984" s="2">
        <v>34608</v>
      </c>
      <c r="G984" s="2" t="str">
        <f>VLOOKUP(F984,Produtos!A:B,2,FALSE)</f>
        <v>SKOL LATA 350ML SH C/12 MULTIPAK</v>
      </c>
      <c r="H984" t="s">
        <v>474</v>
      </c>
      <c r="I98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4" s="9" t="str">
        <f>VLOOKUP(Table1[[#This Row],[Área avaliada]],Endereços!A:B,2,0)</f>
        <v>Área Azul</v>
      </c>
      <c r="K984" t="str">
        <f>VLOOKUP(Table1[[#This Row],[Nome do avaliador ]],M:N,2,0)</f>
        <v>A</v>
      </c>
    </row>
    <row r="985" spans="1:11" x14ac:dyDescent="0.3">
      <c r="A985">
        <v>984</v>
      </c>
      <c r="B985" s="1">
        <v>45969.276747685202</v>
      </c>
      <c r="C985" s="1">
        <v>45969.277418981503</v>
      </c>
      <c r="D985" t="s">
        <v>17</v>
      </c>
      <c r="E985" t="s">
        <v>23</v>
      </c>
      <c r="F985" s="2">
        <v>33734</v>
      </c>
      <c r="G985" s="2" t="str">
        <f>VLOOKUP(F985,Produtos!A:B,2,FALSE)</f>
        <v>BEATS RED MIX LT 269ML SH C/8</v>
      </c>
      <c r="H985" t="s">
        <v>475</v>
      </c>
      <c r="I98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5" s="9" t="str">
        <f>VLOOKUP(Table1[[#This Row],[Área avaliada]],Endereços!A:B,2,0)</f>
        <v>Área Azul</v>
      </c>
      <c r="K985" t="s">
        <v>510</v>
      </c>
    </row>
    <row r="986" spans="1:11" x14ac:dyDescent="0.3">
      <c r="A986">
        <v>985</v>
      </c>
      <c r="B986" s="1">
        <v>45969.277534722198</v>
      </c>
      <c r="C986" s="1">
        <v>45969.278229166703</v>
      </c>
      <c r="D986" t="s">
        <v>19</v>
      </c>
      <c r="E986" t="s">
        <v>23</v>
      </c>
      <c r="F986" s="2">
        <v>35617</v>
      </c>
      <c r="G986" s="2" t="e">
        <f>VLOOKUP(F986,Produtos!A:B,2,FALSE)</f>
        <v>#N/A</v>
      </c>
      <c r="H986" t="s">
        <v>473</v>
      </c>
      <c r="I98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6" s="9" t="str">
        <f>VLOOKUP(Table1[[#This Row],[Área avaliada]],Endereços!A:B,2,0)</f>
        <v>Área Azul</v>
      </c>
      <c r="K986" t="str">
        <f>VLOOKUP(Table1[[#This Row],[Nome do avaliador ]],M:N,2,0)</f>
        <v>A</v>
      </c>
    </row>
    <row r="987" spans="1:11" x14ac:dyDescent="0.3">
      <c r="A987">
        <v>986</v>
      </c>
      <c r="B987" s="1">
        <v>45969.2821064815</v>
      </c>
      <c r="C987" s="1">
        <v>45969.2828703704</v>
      </c>
      <c r="D987" t="s">
        <v>17</v>
      </c>
      <c r="E987" t="s">
        <v>23</v>
      </c>
      <c r="F987" s="2">
        <v>18807</v>
      </c>
      <c r="G987" s="2" t="str">
        <f>VLOOKUP(F987,Produtos!A:B,2,FALSE)</f>
        <v>STELLA ARTOIS LN 330ML 6PACK SHR C 4</v>
      </c>
      <c r="H987" t="s">
        <v>475</v>
      </c>
      <c r="I98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7" s="9" t="str">
        <f>VLOOKUP(Table1[[#This Row],[Área avaliada]],Endereços!A:B,2,0)</f>
        <v>Área Azul</v>
      </c>
      <c r="K987" t="s">
        <v>510</v>
      </c>
    </row>
    <row r="988" spans="1:11" x14ac:dyDescent="0.3">
      <c r="A988">
        <v>987</v>
      </c>
      <c r="B988" s="1">
        <v>45969.2825578704</v>
      </c>
      <c r="C988" s="1">
        <v>45969.283206018503</v>
      </c>
      <c r="D988" t="s">
        <v>19</v>
      </c>
      <c r="E988" t="s">
        <v>20</v>
      </c>
      <c r="F988" s="2">
        <v>9089</v>
      </c>
      <c r="G988" s="2" t="str">
        <f>VLOOKUP(F988,Produtos!A:B,2,FALSE)</f>
        <v>SUKITA LATA 350ML SH C/12 NPAL</v>
      </c>
      <c r="H988" t="s">
        <v>473</v>
      </c>
      <c r="I98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8" s="9" t="str">
        <f>VLOOKUP(Table1[[#This Row],[Área avaliada]],Endereços!A:B,2,0)</f>
        <v>Área Azul</v>
      </c>
      <c r="K988" t="str">
        <f>VLOOKUP(Table1[[#This Row],[Nome do avaliador ]],M:N,2,0)</f>
        <v>A</v>
      </c>
    </row>
    <row r="989" spans="1:11" x14ac:dyDescent="0.3">
      <c r="A989">
        <v>988</v>
      </c>
      <c r="B989" s="1">
        <v>45971.362650463001</v>
      </c>
      <c r="C989" s="1">
        <v>45971.363182870402</v>
      </c>
      <c r="D989" t="s">
        <v>17</v>
      </c>
      <c r="E989" t="s">
        <v>25</v>
      </c>
      <c r="F989" s="2">
        <v>17797</v>
      </c>
      <c r="G989" s="2" t="str">
        <f>VLOOKUP(F989,Produtos!A:B,2,FALSE)</f>
        <v>BRAHMA CHOPP LATA 350ML SH 18 MULTIPACK</v>
      </c>
      <c r="H989" t="s">
        <v>475</v>
      </c>
      <c r="I98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9" s="9" t="str">
        <f>VLOOKUP(Table1[[#This Row],[Área avaliada]],Endereços!A:B,2,0)</f>
        <v>Área Azul</v>
      </c>
      <c r="K989" t="s">
        <v>510</v>
      </c>
    </row>
    <row r="990" spans="1:11" x14ac:dyDescent="0.3">
      <c r="A990">
        <v>989</v>
      </c>
      <c r="B990" s="1">
        <v>45971.362939814797</v>
      </c>
      <c r="C990" s="1">
        <v>45971.363344907397</v>
      </c>
      <c r="D990" t="s">
        <v>19</v>
      </c>
      <c r="E990" t="s">
        <v>25</v>
      </c>
      <c r="F990" s="2">
        <v>17797</v>
      </c>
      <c r="G990" s="2" t="str">
        <f>VLOOKUP(F990,Produtos!A:B,2,FALSE)</f>
        <v>BRAHMA CHOPP LATA 350ML SH 18 MULTIPACK</v>
      </c>
      <c r="H990" t="s">
        <v>473</v>
      </c>
      <c r="I99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0" s="9" t="str">
        <f>VLOOKUP(Table1[[#This Row],[Área avaliada]],Endereços!A:B,2,0)</f>
        <v>Área Azul</v>
      </c>
      <c r="K990" t="str">
        <f>VLOOKUP(Table1[[#This Row],[Nome do avaliador ]],M:N,2,0)</f>
        <v>A</v>
      </c>
    </row>
    <row r="991" spans="1:11" x14ac:dyDescent="0.3">
      <c r="A991">
        <v>990</v>
      </c>
      <c r="B991" s="1">
        <v>45971.364247685196</v>
      </c>
      <c r="C991" s="1">
        <v>45971.364629629599</v>
      </c>
      <c r="D991" t="s">
        <v>19</v>
      </c>
      <c r="E991" t="s">
        <v>23</v>
      </c>
      <c r="F991" s="2">
        <v>9083</v>
      </c>
      <c r="G991" s="2" t="str">
        <f>VLOOKUP(F991,Produtos!A:B,2,FALSE)</f>
        <v>SKOL LT 473ML SH C/12 NPAL</v>
      </c>
      <c r="H991" t="s">
        <v>473</v>
      </c>
      <c r="I99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1" s="9" t="str">
        <f>VLOOKUP(Table1[[#This Row],[Área avaliada]],Endereços!A:B,2,0)</f>
        <v>Área Azul</v>
      </c>
      <c r="K991" t="str">
        <f>VLOOKUP(Table1[[#This Row],[Nome do avaliador ]],M:N,2,0)</f>
        <v>A</v>
      </c>
    </row>
    <row r="992" spans="1:11" x14ac:dyDescent="0.3">
      <c r="A992">
        <v>991</v>
      </c>
      <c r="B992" s="1">
        <v>45971.364062499997</v>
      </c>
      <c r="C992" s="1">
        <v>45971.364918981497</v>
      </c>
      <c r="D992" t="s">
        <v>17</v>
      </c>
      <c r="E992" t="s">
        <v>23</v>
      </c>
      <c r="F992" s="2">
        <v>21020</v>
      </c>
      <c r="G992" s="2" t="str">
        <f>VLOOKUP(F992,Produtos!A:B,2,FALSE)</f>
        <v>BUDWEISER LT SLEEK 350ML CX CART C12</v>
      </c>
      <c r="H992" t="s">
        <v>475</v>
      </c>
      <c r="I99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2" s="9" t="str">
        <f>VLOOKUP(Table1[[#This Row],[Área avaliada]],Endereços!A:B,2,0)</f>
        <v>Área Azul</v>
      </c>
      <c r="K992" t="s">
        <v>510</v>
      </c>
    </row>
    <row r="993" spans="1:11" x14ac:dyDescent="0.3">
      <c r="A993">
        <v>992</v>
      </c>
      <c r="B993" s="1">
        <v>45971.367175925901</v>
      </c>
      <c r="C993" s="1">
        <v>45971.3676851852</v>
      </c>
      <c r="D993" t="s">
        <v>19</v>
      </c>
      <c r="E993" t="s">
        <v>25</v>
      </c>
      <c r="F993" s="2">
        <v>9093</v>
      </c>
      <c r="G993" s="2" t="str">
        <f>VLOOKUP(F993,Produtos!A:B,2,FALSE)</f>
        <v>PEPSI TWIST LATA 350ML SH C/12 NPAL</v>
      </c>
      <c r="H993" t="s">
        <v>473</v>
      </c>
      <c r="I99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3" s="9" t="str">
        <f>VLOOKUP(Table1[[#This Row],[Área avaliada]],Endereços!A:B,2,0)</f>
        <v>Área Azul</v>
      </c>
      <c r="K993" t="str">
        <f>VLOOKUP(Table1[[#This Row],[Nome do avaliador ]],M:N,2,0)</f>
        <v>A</v>
      </c>
    </row>
    <row r="994" spans="1:11" x14ac:dyDescent="0.3">
      <c r="A994">
        <v>993</v>
      </c>
      <c r="B994" s="1">
        <v>45971.367199074099</v>
      </c>
      <c r="C994" s="1">
        <v>45971.367696759298</v>
      </c>
      <c r="D994" t="s">
        <v>17</v>
      </c>
      <c r="E994" t="s">
        <v>20</v>
      </c>
      <c r="F994" s="2">
        <v>9093</v>
      </c>
      <c r="G994" s="2" t="str">
        <f>VLOOKUP(F994,Produtos!A:B,2,FALSE)</f>
        <v>PEPSI TWIST LATA 350ML SH C/12 NPAL</v>
      </c>
      <c r="H994" t="s">
        <v>475</v>
      </c>
      <c r="I99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4" s="9" t="str">
        <f>VLOOKUP(Table1[[#This Row],[Área avaliada]],Endereços!A:B,2,0)</f>
        <v>Área Azul</v>
      </c>
      <c r="K994" t="s">
        <v>510</v>
      </c>
    </row>
    <row r="995" spans="1:11" x14ac:dyDescent="0.3">
      <c r="A995">
        <v>994</v>
      </c>
      <c r="B995" s="1">
        <v>45971.368622685201</v>
      </c>
      <c r="C995" s="1">
        <v>45971.369085648097</v>
      </c>
      <c r="D995" t="s">
        <v>17</v>
      </c>
      <c r="E995" t="s">
        <v>20</v>
      </c>
      <c r="F995" s="2">
        <v>17808</v>
      </c>
      <c r="G995" s="2" t="str">
        <f>VLOOKUP(F995,Produtos!A:B,2,FALSE)</f>
        <v>BUDWEISER OW 330ML CX C 24</v>
      </c>
      <c r="H995" t="s">
        <v>475</v>
      </c>
      <c r="I99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5" s="9" t="str">
        <f>VLOOKUP(Table1[[#This Row],[Área avaliada]],Endereços!A:B,2,0)</f>
        <v>Área Azul</v>
      </c>
      <c r="K995" t="s">
        <v>510</v>
      </c>
    </row>
    <row r="996" spans="1:11" x14ac:dyDescent="0.3">
      <c r="A996">
        <v>995</v>
      </c>
      <c r="B996" s="1">
        <v>45971.368657407402</v>
      </c>
      <c r="C996" s="1">
        <v>45971.369131944397</v>
      </c>
      <c r="D996" t="s">
        <v>19</v>
      </c>
      <c r="E996" t="s">
        <v>20</v>
      </c>
      <c r="F996" s="2">
        <v>9084</v>
      </c>
      <c r="G996" s="2" t="str">
        <f>VLOOKUP(F996,Produtos!A:B,2,FALSE)</f>
        <v>GUARANA CHP ANTARCT LT350ML SH C/12 NPAL</v>
      </c>
      <c r="H996" t="s">
        <v>473</v>
      </c>
      <c r="I99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6" s="9" t="str">
        <f>VLOOKUP(Table1[[#This Row],[Área avaliada]],Endereços!A:B,2,0)</f>
        <v>Área Azul</v>
      </c>
      <c r="K996" t="str">
        <f>VLOOKUP(Table1[[#This Row],[Nome do avaliador ]],M:N,2,0)</f>
        <v>A</v>
      </c>
    </row>
    <row r="997" spans="1:11" x14ac:dyDescent="0.3">
      <c r="A997">
        <v>996</v>
      </c>
      <c r="B997" s="1">
        <v>45971.369942129597</v>
      </c>
      <c r="C997" s="1">
        <v>45971.370555555601</v>
      </c>
      <c r="D997" t="s">
        <v>19</v>
      </c>
      <c r="E997" t="s">
        <v>20</v>
      </c>
      <c r="F997" s="2">
        <v>12948</v>
      </c>
      <c r="G997" s="2" t="str">
        <f>VLOOKUP(F997,Produtos!A:B,2,FALSE)</f>
        <v>BRAHMA CHOPP ZERO LATA 350 SH CX C12 NPA</v>
      </c>
      <c r="H997" t="s">
        <v>473</v>
      </c>
      <c r="I99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7" s="9" t="str">
        <f>VLOOKUP(Table1[[#This Row],[Área avaliada]],Endereços!A:B,2,0)</f>
        <v>Área Azul</v>
      </c>
      <c r="K997" t="str">
        <f>VLOOKUP(Table1[[#This Row],[Nome do avaliador ]],M:N,2,0)</f>
        <v>A</v>
      </c>
    </row>
    <row r="998" spans="1:11" x14ac:dyDescent="0.3">
      <c r="A998">
        <v>997</v>
      </c>
      <c r="B998" s="1">
        <v>45971.371249999997</v>
      </c>
      <c r="C998" s="1">
        <v>45971.371678240699</v>
      </c>
      <c r="D998" t="s">
        <v>19</v>
      </c>
      <c r="E998" t="s">
        <v>20</v>
      </c>
      <c r="F998" s="2">
        <v>9320</v>
      </c>
      <c r="G998" s="2" t="str">
        <f>VLOOKUP(F998,Produtos!A:B,2,FALSE)</f>
        <v>BRAHMA CHOPP LT 473ML SH C/12 NPAL</v>
      </c>
      <c r="H998" t="s">
        <v>473</v>
      </c>
      <c r="I99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8" s="9" t="str">
        <f>VLOOKUP(Table1[[#This Row],[Área avaliada]],Endereços!A:B,2,0)</f>
        <v>Área Azul</v>
      </c>
      <c r="K998" t="str">
        <f>VLOOKUP(Table1[[#This Row],[Nome do avaliador ]],M:N,2,0)</f>
        <v>A</v>
      </c>
    </row>
    <row r="999" spans="1:11" x14ac:dyDescent="0.3">
      <c r="A999">
        <v>998</v>
      </c>
      <c r="B999" s="1">
        <v>45971.371354166702</v>
      </c>
      <c r="C999" s="1">
        <v>45971.371851851902</v>
      </c>
      <c r="D999" t="s">
        <v>17</v>
      </c>
      <c r="E999" t="s">
        <v>20</v>
      </c>
      <c r="F999" s="2">
        <v>9320</v>
      </c>
      <c r="G999" s="2" t="str">
        <f>VLOOKUP(F999,Produtos!A:B,2,FALSE)</f>
        <v>BRAHMA CHOPP LT 473ML SH C/12 NPAL</v>
      </c>
      <c r="H999" t="s">
        <v>475</v>
      </c>
      <c r="I99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9" s="9" t="str">
        <f>VLOOKUP(Table1[[#This Row],[Área avaliada]],Endereços!A:B,2,0)</f>
        <v>Área Azul</v>
      </c>
      <c r="K999" t="s">
        <v>510</v>
      </c>
    </row>
    <row r="1000" spans="1:11" x14ac:dyDescent="0.3">
      <c r="A1000">
        <v>999</v>
      </c>
      <c r="B1000" s="1">
        <v>45972.371967592597</v>
      </c>
      <c r="C1000" s="1">
        <v>45972.372638888897</v>
      </c>
      <c r="D1000" t="s">
        <v>19</v>
      </c>
      <c r="E1000" t="s">
        <v>23</v>
      </c>
      <c r="F1000" s="2">
        <v>33820</v>
      </c>
      <c r="G1000" s="2" t="e">
        <f>VLOOKUP(F1000,Produtos!A:B,2,FALSE)</f>
        <v>#N/A</v>
      </c>
      <c r="H1000" t="s">
        <v>473</v>
      </c>
      <c r="I100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0" s="9" t="str">
        <f>VLOOKUP(Table1[[#This Row],[Área avaliada]],Endereços!A:B,2,0)</f>
        <v>Área Azul</v>
      </c>
      <c r="K1000" t="str">
        <f>VLOOKUP(Table1[[#This Row],[Nome do avaliador ]],M:N,2,0)</f>
        <v>A</v>
      </c>
    </row>
    <row r="1001" spans="1:11" x14ac:dyDescent="0.3">
      <c r="A1001">
        <v>1000</v>
      </c>
      <c r="B1001" s="1">
        <v>45972.372083333299</v>
      </c>
      <c r="C1001" s="1">
        <v>45972.372650463003</v>
      </c>
      <c r="D1001" t="s">
        <v>17</v>
      </c>
      <c r="E1001" t="s">
        <v>23</v>
      </c>
      <c r="F1001" s="2">
        <v>9071</v>
      </c>
      <c r="G1001" s="2" t="str">
        <f>VLOOKUP(F1001,Produtos!A:B,2,FALSE)</f>
        <v>CARACU LATA 350ML SH C/12 NPAL</v>
      </c>
      <c r="H1001" t="s">
        <v>475</v>
      </c>
      <c r="I100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1" s="9" t="str">
        <f>VLOOKUP(Table1[[#This Row],[Área avaliada]],Endereços!A:B,2,0)</f>
        <v>Área Azul</v>
      </c>
      <c r="K1001" t="s">
        <v>510</v>
      </c>
    </row>
    <row r="1002" spans="1:11" x14ac:dyDescent="0.3">
      <c r="A1002">
        <v>1001</v>
      </c>
      <c r="B1002" s="1">
        <v>45972.376921296302</v>
      </c>
      <c r="C1002" s="1">
        <v>45972.377476851798</v>
      </c>
      <c r="D1002" t="s">
        <v>19</v>
      </c>
      <c r="E1002" t="s">
        <v>20</v>
      </c>
      <c r="F1002" s="2">
        <v>9067</v>
      </c>
      <c r="G1002" s="2" t="str">
        <f>VLOOKUP(F1002,Produtos!A:B,2,FALSE)</f>
        <v>ANTARCTICA PILSEN LATA 350ML SH C/12 NPA</v>
      </c>
      <c r="H1002" t="s">
        <v>473</v>
      </c>
      <c r="I100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2" s="9" t="str">
        <f>VLOOKUP(Table1[[#This Row],[Área avaliada]],Endereços!A:B,2,0)</f>
        <v>Área Azul</v>
      </c>
      <c r="K1002" t="str">
        <f>VLOOKUP(Table1[[#This Row],[Nome do avaliador ]],M:N,2,0)</f>
        <v>A</v>
      </c>
    </row>
    <row r="1003" spans="1:11" x14ac:dyDescent="0.3">
      <c r="A1003">
        <v>1002</v>
      </c>
      <c r="B1003" s="1">
        <v>45973.338171296302</v>
      </c>
      <c r="C1003" s="1">
        <v>45973.3386805556</v>
      </c>
      <c r="D1003" t="s">
        <v>17</v>
      </c>
      <c r="E1003" t="s">
        <v>23</v>
      </c>
      <c r="F1003" s="2">
        <v>9071</v>
      </c>
      <c r="G1003" s="2" t="str">
        <f>VLOOKUP(F1003,Produtos!A:B,2,FALSE)</f>
        <v>CARACU LATA 350ML SH C/12 NPAL</v>
      </c>
      <c r="H1003" t="s">
        <v>475</v>
      </c>
      <c r="I100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3" s="9" t="str">
        <f>VLOOKUP(Table1[[#This Row],[Área avaliada]],Endereços!A:B,2,0)</f>
        <v>Área Azul</v>
      </c>
      <c r="K1003" t="s">
        <v>510</v>
      </c>
    </row>
    <row r="1004" spans="1:11" x14ac:dyDescent="0.3">
      <c r="A1004">
        <v>1003</v>
      </c>
      <c r="B1004" s="1">
        <v>45973.338703703703</v>
      </c>
      <c r="C1004" s="1">
        <v>45973.339166666701</v>
      </c>
      <c r="D1004" t="s">
        <v>17</v>
      </c>
      <c r="E1004" t="s">
        <v>25</v>
      </c>
      <c r="F1004" s="2">
        <v>17797</v>
      </c>
      <c r="G1004" s="2" t="str">
        <f>VLOOKUP(F1004,Produtos!A:B,2,FALSE)</f>
        <v>BRAHMA CHOPP LATA 350ML SH 18 MULTIPACK</v>
      </c>
      <c r="H1004" t="s">
        <v>475</v>
      </c>
      <c r="I100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4" s="9" t="str">
        <f>VLOOKUP(Table1[[#This Row],[Área avaliada]],Endereços!A:B,2,0)</f>
        <v>Área Azul</v>
      </c>
      <c r="K1004" t="s">
        <v>510</v>
      </c>
    </row>
    <row r="1005" spans="1:11" x14ac:dyDescent="0.3">
      <c r="A1005">
        <v>1004</v>
      </c>
      <c r="B1005" s="1">
        <v>45973.340717592597</v>
      </c>
      <c r="C1005" s="1">
        <v>45973.341307870403</v>
      </c>
      <c r="D1005" t="s">
        <v>17</v>
      </c>
      <c r="E1005" t="s">
        <v>20</v>
      </c>
      <c r="F1005" s="2">
        <v>12948</v>
      </c>
      <c r="G1005" s="2" t="str">
        <f>VLOOKUP(F1005,Produtos!A:B,2,FALSE)</f>
        <v>BRAHMA CHOPP ZERO LATA 350 SH CX C12 NPA</v>
      </c>
      <c r="H1005" t="s">
        <v>475</v>
      </c>
      <c r="I100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5" s="9" t="str">
        <f>VLOOKUP(Table1[[#This Row],[Área avaliada]],Endereços!A:B,2,0)</f>
        <v>Área Azul</v>
      </c>
      <c r="K1005" t="s">
        <v>510</v>
      </c>
    </row>
    <row r="1006" spans="1:11" x14ac:dyDescent="0.3">
      <c r="A1006">
        <v>1005</v>
      </c>
      <c r="B1006" s="1">
        <v>45973.3420833333</v>
      </c>
      <c r="C1006" s="1">
        <v>45973.342453703699</v>
      </c>
      <c r="D1006" t="s">
        <v>17</v>
      </c>
      <c r="E1006" t="s">
        <v>20</v>
      </c>
      <c r="F1006" s="2">
        <v>17808</v>
      </c>
      <c r="G1006" s="2" t="str">
        <f>VLOOKUP(F1006,Produtos!A:B,2,FALSE)</f>
        <v>BUDWEISER OW 330ML CX C 24</v>
      </c>
      <c r="H1006" t="s">
        <v>475</v>
      </c>
      <c r="I100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6" s="9" t="str">
        <f>VLOOKUP(Table1[[#This Row],[Área avaliada]],Endereços!A:B,2,0)</f>
        <v>Área Azul</v>
      </c>
      <c r="K1006" t="s">
        <v>510</v>
      </c>
    </row>
    <row r="1007" spans="1:11" x14ac:dyDescent="0.3">
      <c r="A1007">
        <v>1006</v>
      </c>
      <c r="B1007" s="1">
        <v>45973.389016203699</v>
      </c>
      <c r="C1007" s="1">
        <v>45973.389652777798</v>
      </c>
      <c r="D1007" t="s">
        <v>19</v>
      </c>
      <c r="E1007" t="s">
        <v>23</v>
      </c>
      <c r="F1007" s="2">
        <v>21020</v>
      </c>
      <c r="G1007" s="2" t="str">
        <f>VLOOKUP(F1007,Produtos!A:B,2,FALSE)</f>
        <v>BUDWEISER LT SLEEK 350ML CX CART C12</v>
      </c>
      <c r="H1007" t="s">
        <v>473</v>
      </c>
      <c r="I100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7" s="9" t="str">
        <f>VLOOKUP(Table1[[#This Row],[Área avaliada]],Endereços!A:B,2,0)</f>
        <v>Área Azul</v>
      </c>
      <c r="K1007" t="str">
        <f>VLOOKUP(Table1[[#This Row],[Nome do avaliador ]],M:N,2,0)</f>
        <v>A</v>
      </c>
    </row>
    <row r="1008" spans="1:11" x14ac:dyDescent="0.3">
      <c r="A1008">
        <v>1007</v>
      </c>
      <c r="B1008" s="1">
        <v>45973.389421296299</v>
      </c>
      <c r="C1008" s="1">
        <v>45973.390011574098</v>
      </c>
      <c r="D1008" t="s">
        <v>17</v>
      </c>
      <c r="E1008" t="s">
        <v>23</v>
      </c>
      <c r="F1008" s="2">
        <v>21020</v>
      </c>
      <c r="G1008" s="2" t="str">
        <f>VLOOKUP(F1008,Produtos!A:B,2,FALSE)</f>
        <v>BUDWEISER LT SLEEK 350ML CX CART C12</v>
      </c>
      <c r="H1008" t="s">
        <v>475</v>
      </c>
      <c r="I100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8" s="9" t="str">
        <f>VLOOKUP(Table1[[#This Row],[Área avaliada]],Endereços!A:B,2,0)</f>
        <v>Área Azul</v>
      </c>
      <c r="K1008" t="s">
        <v>510</v>
      </c>
    </row>
    <row r="1009" spans="1:11" x14ac:dyDescent="0.3">
      <c r="A1009">
        <v>1008</v>
      </c>
      <c r="B1009" s="1">
        <v>45973.392800925903</v>
      </c>
      <c r="C1009" s="1">
        <v>45973.393287036997</v>
      </c>
      <c r="D1009" t="s">
        <v>19</v>
      </c>
      <c r="E1009" t="s">
        <v>23</v>
      </c>
      <c r="F1009" s="2">
        <v>35623</v>
      </c>
      <c r="G1009" s="2" t="e">
        <f>VLOOKUP(F1009,Produtos!A:B,2,FALSE)</f>
        <v>#N/A</v>
      </c>
      <c r="H1009" t="s">
        <v>473</v>
      </c>
      <c r="I100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9" s="9" t="str">
        <f>VLOOKUP(Table1[[#This Row],[Área avaliada]],Endereços!A:B,2,0)</f>
        <v>Área Azul</v>
      </c>
      <c r="K1009" t="str">
        <f>VLOOKUP(Table1[[#This Row],[Nome do avaliador ]],M:N,2,0)</f>
        <v>A</v>
      </c>
    </row>
    <row r="1010" spans="1:11" x14ac:dyDescent="0.3">
      <c r="A1010">
        <v>1009</v>
      </c>
      <c r="B1010" s="1">
        <v>45973.394166666701</v>
      </c>
      <c r="C1010" s="1">
        <v>45973.394652777803</v>
      </c>
      <c r="D1010" t="s">
        <v>19</v>
      </c>
      <c r="E1010" t="s">
        <v>25</v>
      </c>
      <c r="F1010" s="2">
        <v>9069</v>
      </c>
      <c r="G1010" s="2" t="str">
        <f>VLOOKUP(F1010,Produtos!A:B,2,FALSE)</f>
        <v>BRAHMA CHOPP LATA 350ML SH C/12 NPAL</v>
      </c>
      <c r="H1010" t="s">
        <v>473</v>
      </c>
      <c r="I101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0" s="9" t="str">
        <f>VLOOKUP(Table1[[#This Row],[Área avaliada]],Endereços!A:B,2,0)</f>
        <v>Área Azul</v>
      </c>
      <c r="K1010" t="str">
        <f>VLOOKUP(Table1[[#This Row],[Nome do avaliador ]],M:N,2,0)</f>
        <v>A</v>
      </c>
    </row>
    <row r="1011" spans="1:11" x14ac:dyDescent="0.3">
      <c r="A1011">
        <v>1010</v>
      </c>
      <c r="B1011" s="1">
        <v>45973.397407407399</v>
      </c>
      <c r="C1011" s="1">
        <v>45973.397962962998</v>
      </c>
      <c r="D1011" t="s">
        <v>19</v>
      </c>
      <c r="E1011" t="s">
        <v>20</v>
      </c>
      <c r="F1011" s="2">
        <v>9069</v>
      </c>
      <c r="G1011" s="2" t="str">
        <f>VLOOKUP(F1011,Produtos!A:B,2,FALSE)</f>
        <v>BRAHMA CHOPP LATA 350ML SH C/12 NPAL</v>
      </c>
      <c r="H1011" t="s">
        <v>473</v>
      </c>
      <c r="I101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1" s="9" t="str">
        <f>VLOOKUP(Table1[[#This Row],[Área avaliada]],Endereços!A:B,2,0)</f>
        <v>Área Azul</v>
      </c>
      <c r="K1011" t="str">
        <f>VLOOKUP(Table1[[#This Row],[Nome do avaliador ]],M:N,2,0)</f>
        <v>A</v>
      </c>
    </row>
    <row r="1012" spans="1:11" x14ac:dyDescent="0.3">
      <c r="A1012">
        <v>1011</v>
      </c>
      <c r="B1012" s="1">
        <v>45973.397407407399</v>
      </c>
      <c r="C1012" s="1">
        <v>45973.3979861111</v>
      </c>
      <c r="D1012" t="s">
        <v>17</v>
      </c>
      <c r="E1012" t="s">
        <v>20</v>
      </c>
      <c r="F1012" s="2">
        <v>9069</v>
      </c>
      <c r="G1012" s="2" t="str">
        <f>VLOOKUP(F1012,Produtos!A:B,2,FALSE)</f>
        <v>BRAHMA CHOPP LATA 350ML SH C/12 NPAL</v>
      </c>
      <c r="H1012" t="s">
        <v>475</v>
      </c>
      <c r="I101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2" s="9" t="str">
        <f>VLOOKUP(Table1[[#This Row],[Área avaliada]],Endereços!A:B,2,0)</f>
        <v>Área Azul</v>
      </c>
      <c r="K1012" t="s">
        <v>510</v>
      </c>
    </row>
    <row r="1013" spans="1:11" x14ac:dyDescent="0.3">
      <c r="A1013">
        <v>1012</v>
      </c>
      <c r="B1013" s="1">
        <v>45973.483796296299</v>
      </c>
      <c r="C1013" s="1">
        <v>45973.484293981499</v>
      </c>
      <c r="D1013" t="s">
        <v>17</v>
      </c>
      <c r="E1013" t="s">
        <v>20</v>
      </c>
      <c r="F1013" s="2">
        <v>9276</v>
      </c>
      <c r="G1013" s="2" t="str">
        <f>VLOOKUP(F1013,Produtos!A:B,2,FALSE)</f>
        <v>PEPSI ZERO PET 2L CX C/6</v>
      </c>
      <c r="H1013" t="s">
        <v>475</v>
      </c>
      <c r="I101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3" s="9" t="str">
        <f>VLOOKUP(Table1[[#This Row],[Área avaliada]],Endereços!A:B,2,0)</f>
        <v>Área Azul</v>
      </c>
      <c r="K1013" t="s">
        <v>510</v>
      </c>
    </row>
    <row r="1014" spans="1:11" x14ac:dyDescent="0.3">
      <c r="A1014">
        <v>1013</v>
      </c>
      <c r="B1014" s="1">
        <v>45973.484317129602</v>
      </c>
      <c r="C1014" s="1">
        <v>45973.484814814801</v>
      </c>
      <c r="D1014" t="s">
        <v>17</v>
      </c>
      <c r="E1014" t="s">
        <v>20</v>
      </c>
      <c r="F1014" s="2">
        <v>9320</v>
      </c>
      <c r="G1014" s="2" t="str">
        <f>VLOOKUP(F1014,Produtos!A:B,2,FALSE)</f>
        <v>BRAHMA CHOPP LT 473ML SH C/12 NPAL</v>
      </c>
      <c r="H1014" t="s">
        <v>475</v>
      </c>
      <c r="I101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4" s="9" t="str">
        <f>VLOOKUP(Table1[[#This Row],[Área avaliada]],Endereços!A:B,2,0)</f>
        <v>Área Azul</v>
      </c>
      <c r="K1014" t="s">
        <v>510</v>
      </c>
    </row>
    <row r="1015" spans="1:11" x14ac:dyDescent="0.3">
      <c r="A1015">
        <v>1014</v>
      </c>
      <c r="B1015" s="1">
        <v>45973.488159722197</v>
      </c>
      <c r="C1015" s="1">
        <v>45973.488587963002</v>
      </c>
      <c r="D1015" t="s">
        <v>17</v>
      </c>
      <c r="E1015" t="s">
        <v>23</v>
      </c>
      <c r="F1015" s="2">
        <v>14135</v>
      </c>
      <c r="G1015" s="2" t="str">
        <f>VLOOKUP(F1015,Produtos!A:B,2,FALSE)</f>
        <v>BUDWEISER LT 473ML SIX-PACK SH C/2 NPAL</v>
      </c>
      <c r="H1015" t="s">
        <v>475</v>
      </c>
      <c r="I101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5" s="9" t="str">
        <f>VLOOKUP(Table1[[#This Row],[Área avaliada]],Endereços!A:B,2,0)</f>
        <v>Área Azul</v>
      </c>
      <c r="K1015" t="s">
        <v>510</v>
      </c>
    </row>
    <row r="1016" spans="1:11" x14ac:dyDescent="0.3">
      <c r="A1016">
        <v>1015</v>
      </c>
      <c r="B1016" s="1">
        <v>45973.494189814803</v>
      </c>
      <c r="C1016" s="1">
        <v>45973.494837963</v>
      </c>
      <c r="D1016" t="s">
        <v>17</v>
      </c>
      <c r="E1016" t="s">
        <v>23</v>
      </c>
      <c r="F1016" s="2">
        <v>21020</v>
      </c>
      <c r="G1016" s="2" t="str">
        <f>VLOOKUP(F1016,Produtos!A:B,2,FALSE)</f>
        <v>BUDWEISER LT SLEEK 350ML CX CART C12</v>
      </c>
      <c r="H1016" t="s">
        <v>475</v>
      </c>
      <c r="I101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6" s="9" t="str">
        <f>VLOOKUP(Table1[[#This Row],[Área avaliada]],Endereços!A:B,2,0)</f>
        <v>Área Azul</v>
      </c>
      <c r="K1016" t="s">
        <v>510</v>
      </c>
    </row>
    <row r="1017" spans="1:11" x14ac:dyDescent="0.3">
      <c r="A1017">
        <v>1016</v>
      </c>
      <c r="B1017" s="1">
        <v>45973.494849536997</v>
      </c>
      <c r="C1017" s="1">
        <v>45973.495682870402</v>
      </c>
      <c r="D1017" t="s">
        <v>17</v>
      </c>
      <c r="E1017" t="s">
        <v>23</v>
      </c>
      <c r="F1017" s="2">
        <v>9096</v>
      </c>
      <c r="G1017" s="2" t="str">
        <f>VLOOKUP(F1017,Produtos!A:B,2,FALSE)</f>
        <v>PEPSI COLA LATA 350ML SH C/12 NPAL</v>
      </c>
      <c r="H1017" t="s">
        <v>475</v>
      </c>
      <c r="I101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7" s="9" t="str">
        <f>VLOOKUP(Table1[[#This Row],[Área avaliada]],Endereços!A:B,2,0)</f>
        <v>Área Azul</v>
      </c>
      <c r="K1017" t="s">
        <v>510</v>
      </c>
    </row>
    <row r="1018" spans="1:11" x14ac:dyDescent="0.3">
      <c r="A1018">
        <v>1017</v>
      </c>
      <c r="B1018" s="1">
        <v>45974.442372685196</v>
      </c>
      <c r="C1018" s="1">
        <v>45974.443148148101</v>
      </c>
      <c r="D1018" t="s">
        <v>19</v>
      </c>
      <c r="E1018" t="s">
        <v>23</v>
      </c>
      <c r="F1018" s="2">
        <v>15414</v>
      </c>
      <c r="G1018" s="2" t="str">
        <f>VLOOKUP(F1018,Produtos!A:B,2,FALSE)</f>
        <v>AGUA M F DA ILHA S/G PET 500ML CXC12 PRE</v>
      </c>
      <c r="H1018" t="s">
        <v>474</v>
      </c>
      <c r="I101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8" s="9" t="str">
        <f>VLOOKUP(Table1[[#This Row],[Área avaliada]],Endereços!A:B,2,0)</f>
        <v>Área Azul</v>
      </c>
      <c r="K1018" t="str">
        <f>VLOOKUP(Table1[[#This Row],[Nome do avaliador ]],M:N,2,0)</f>
        <v>A</v>
      </c>
    </row>
    <row r="1019" spans="1:11" x14ac:dyDescent="0.3">
      <c r="A1019">
        <v>1018</v>
      </c>
      <c r="B1019" s="1">
        <v>45974.443668981497</v>
      </c>
      <c r="C1019" s="1">
        <v>45974.444027777798</v>
      </c>
      <c r="D1019" t="s">
        <v>19</v>
      </c>
      <c r="E1019" t="s">
        <v>23</v>
      </c>
      <c r="F1019" s="2">
        <v>9096</v>
      </c>
      <c r="G1019" s="2" t="str">
        <f>VLOOKUP(F1019,Produtos!A:B,2,FALSE)</f>
        <v>PEPSI COLA LATA 350ML SH C/12 NPAL</v>
      </c>
      <c r="H1019" t="s">
        <v>473</v>
      </c>
      <c r="I101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9" s="9" t="str">
        <f>VLOOKUP(Table1[[#This Row],[Área avaliada]],Endereços!A:B,2,0)</f>
        <v>Área Azul</v>
      </c>
      <c r="K1019" t="str">
        <f>VLOOKUP(Table1[[#This Row],[Nome do avaliador ]],M:N,2,0)</f>
        <v>A</v>
      </c>
    </row>
    <row r="1020" spans="1:11" x14ac:dyDescent="0.3">
      <c r="A1020">
        <v>1019</v>
      </c>
      <c r="B1020" s="1">
        <v>45974.4460763889</v>
      </c>
      <c r="C1020" s="1">
        <v>45974.446585648097</v>
      </c>
      <c r="D1020" t="s">
        <v>19</v>
      </c>
      <c r="E1020" t="s">
        <v>25</v>
      </c>
      <c r="F1020" s="2">
        <v>19310</v>
      </c>
      <c r="G1020" s="2" t="str">
        <f>VLOOKUP(F1020,Produtos!A:B,2,FALSE)</f>
        <v>ORIGINAL LATA 350ML CX CARTAO C/12 NPAL</v>
      </c>
      <c r="H1020" t="s">
        <v>473</v>
      </c>
      <c r="I102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0" s="9" t="str">
        <f>VLOOKUP(Table1[[#This Row],[Área avaliada]],Endereços!A:B,2,0)</f>
        <v>Área Azul</v>
      </c>
      <c r="K1020" t="str">
        <f>VLOOKUP(Table1[[#This Row],[Nome do avaliador ]],M:N,2,0)</f>
        <v>A</v>
      </c>
    </row>
    <row r="1021" spans="1:11" x14ac:dyDescent="0.3">
      <c r="A1021">
        <v>1020</v>
      </c>
      <c r="B1021" s="1">
        <v>45975.175844907397</v>
      </c>
      <c r="C1021" s="1">
        <v>45975.1765856481</v>
      </c>
      <c r="D1021" t="s">
        <v>26</v>
      </c>
      <c r="E1021" t="s">
        <v>14</v>
      </c>
      <c r="F1021" s="2">
        <v>9071</v>
      </c>
      <c r="G1021" s="2" t="str">
        <f>VLOOKUP(F1021,Produtos!A:B,2,FALSE)</f>
        <v>CARACU LATA 350ML SH C/12 NPAL</v>
      </c>
      <c r="H1021" t="s">
        <v>475</v>
      </c>
      <c r="I102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1" s="9" t="str">
        <f>VLOOKUP(Table1[[#This Row],[Área avaliada]],Endereços!A:B,2,0)</f>
        <v>Picking Baixo Giro</v>
      </c>
      <c r="K1021" t="str">
        <f>VLOOKUP(Table1[[#This Row],[Nome do avaliador ]],M:N,2,0)</f>
        <v>C</v>
      </c>
    </row>
    <row r="1022" spans="1:11" x14ac:dyDescent="0.3">
      <c r="A1022">
        <v>1021</v>
      </c>
      <c r="B1022" s="1">
        <v>45975.183136574102</v>
      </c>
      <c r="C1022" s="1">
        <v>45975.1850231481</v>
      </c>
      <c r="D1022" t="s">
        <v>26</v>
      </c>
      <c r="E1022" t="s">
        <v>14</v>
      </c>
      <c r="F1022" s="2">
        <v>33820</v>
      </c>
      <c r="G1022" s="2" t="e">
        <f>VLOOKUP(F1022,Produtos!A:B,2,FALSE)</f>
        <v>#N/A</v>
      </c>
      <c r="H1022" t="s">
        <v>475</v>
      </c>
      <c r="I102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2" s="9" t="str">
        <f>VLOOKUP(Table1[[#This Row],[Área avaliada]],Endereços!A:B,2,0)</f>
        <v>Picking Baixo Giro</v>
      </c>
      <c r="K1022" t="str">
        <f>VLOOKUP(Table1[[#This Row],[Nome do avaliador ]],M:N,2,0)</f>
        <v>C</v>
      </c>
    </row>
    <row r="1023" spans="1:11" x14ac:dyDescent="0.3">
      <c r="A1023">
        <v>1022</v>
      </c>
      <c r="B1023" s="1">
        <v>45975.3891435185</v>
      </c>
      <c r="C1023" s="1">
        <v>45975.389583333301</v>
      </c>
      <c r="D1023" t="s">
        <v>17</v>
      </c>
      <c r="E1023" t="s">
        <v>23</v>
      </c>
      <c r="F1023" s="2">
        <v>19729</v>
      </c>
      <c r="G1023" s="2" t="str">
        <f>VLOOKUP(F1023,Produtos!A:B,2,FALSE)</f>
        <v>STELLA ARTOIS LT SLEEK 350ML C 8 CX CART</v>
      </c>
      <c r="H1023" t="s">
        <v>475</v>
      </c>
      <c r="I102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3" s="9" t="str">
        <f>VLOOKUP(Table1[[#This Row],[Área avaliada]],Endereços!A:B,2,0)</f>
        <v>Área Azul</v>
      </c>
      <c r="K1023" t="s">
        <v>510</v>
      </c>
    </row>
    <row r="1024" spans="1:11" x14ac:dyDescent="0.3">
      <c r="A1024">
        <v>1023</v>
      </c>
      <c r="B1024" s="1">
        <v>45975.390856481499</v>
      </c>
      <c r="C1024" s="1">
        <v>45975.391331018502</v>
      </c>
      <c r="D1024" t="s">
        <v>17</v>
      </c>
      <c r="E1024" t="s">
        <v>23</v>
      </c>
      <c r="F1024" s="2">
        <v>14135</v>
      </c>
      <c r="G1024" s="2" t="str">
        <f>VLOOKUP(F1024,Produtos!A:B,2,FALSE)</f>
        <v>BUDWEISER LT 473ML SIX-PACK SH C/2 NPAL</v>
      </c>
      <c r="H1024" t="s">
        <v>475</v>
      </c>
      <c r="I102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4" s="9" t="str">
        <f>VLOOKUP(Table1[[#This Row],[Área avaliada]],Endereços!A:B,2,0)</f>
        <v>Área Azul</v>
      </c>
      <c r="K1024" t="s">
        <v>510</v>
      </c>
    </row>
    <row r="1025" spans="1:11" x14ac:dyDescent="0.3">
      <c r="A1025">
        <v>1024</v>
      </c>
      <c r="B1025" s="1">
        <v>45975.392175925903</v>
      </c>
      <c r="C1025" s="1">
        <v>45975.3926041667</v>
      </c>
      <c r="D1025" t="s">
        <v>17</v>
      </c>
      <c r="E1025" t="s">
        <v>23</v>
      </c>
      <c r="F1025" s="2">
        <v>14135</v>
      </c>
      <c r="G1025" s="2" t="str">
        <f>VLOOKUP(F1025,Produtos!A:B,2,FALSE)</f>
        <v>BUDWEISER LT 473ML SIX-PACK SH C/2 NPAL</v>
      </c>
      <c r="H1025" t="s">
        <v>475</v>
      </c>
      <c r="I102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5" s="9" t="str">
        <f>VLOOKUP(Table1[[#This Row],[Área avaliada]],Endereços!A:B,2,0)</f>
        <v>Área Azul</v>
      </c>
      <c r="K1025" t="s">
        <v>510</v>
      </c>
    </row>
    <row r="1026" spans="1:11" x14ac:dyDescent="0.3">
      <c r="A1026">
        <v>1025</v>
      </c>
      <c r="B1026" s="1">
        <v>45975.394722222198</v>
      </c>
      <c r="C1026" s="1">
        <v>45975.395266203697</v>
      </c>
      <c r="D1026" t="s">
        <v>17</v>
      </c>
      <c r="E1026" t="s">
        <v>20</v>
      </c>
      <c r="F1026" s="2">
        <v>12948</v>
      </c>
      <c r="G1026" s="2" t="str">
        <f>VLOOKUP(F1026,Produtos!A:B,2,FALSE)</f>
        <v>BRAHMA CHOPP ZERO LATA 350 SH CX C12 NPA</v>
      </c>
      <c r="H1026" t="s">
        <v>475</v>
      </c>
      <c r="I102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6" s="9" t="str">
        <f>VLOOKUP(Table1[[#This Row],[Área avaliada]],Endereços!A:B,2,0)</f>
        <v>Área Azul</v>
      </c>
      <c r="K1026" t="s">
        <v>510</v>
      </c>
    </row>
    <row r="1027" spans="1:11" x14ac:dyDescent="0.3">
      <c r="A1027">
        <v>1026</v>
      </c>
      <c r="B1027" s="1">
        <v>45975.396076388897</v>
      </c>
      <c r="C1027" s="1">
        <v>45975.396539351903</v>
      </c>
      <c r="D1027" t="s">
        <v>17</v>
      </c>
      <c r="E1027" t="s">
        <v>20</v>
      </c>
      <c r="F1027" s="2">
        <v>17808</v>
      </c>
      <c r="G1027" s="2" t="str">
        <f>VLOOKUP(F1027,Produtos!A:B,2,FALSE)</f>
        <v>BUDWEISER OW 330ML CX C 24</v>
      </c>
      <c r="H1027" t="s">
        <v>475</v>
      </c>
      <c r="I102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7" s="9" t="str">
        <f>VLOOKUP(Table1[[#This Row],[Área avaliada]],Endereços!A:B,2,0)</f>
        <v>Área Azul</v>
      </c>
      <c r="K1027" t="s">
        <v>510</v>
      </c>
    </row>
    <row r="1028" spans="1:11" x14ac:dyDescent="0.3">
      <c r="A1028">
        <v>1027</v>
      </c>
      <c r="B1028" s="1">
        <v>45975.397210648101</v>
      </c>
      <c r="C1028" s="1">
        <v>45975.397615740701</v>
      </c>
      <c r="D1028" t="s">
        <v>17</v>
      </c>
      <c r="E1028" t="s">
        <v>20</v>
      </c>
      <c r="F1028" s="2">
        <v>21020</v>
      </c>
      <c r="G1028" s="2" t="str">
        <f>VLOOKUP(F1028,Produtos!A:B,2,FALSE)</f>
        <v>BUDWEISER LT SLEEK 350ML CX CART C12</v>
      </c>
      <c r="H1028" t="s">
        <v>475</v>
      </c>
      <c r="I102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8" s="9" t="str">
        <f>VLOOKUP(Table1[[#This Row],[Área avaliada]],Endereços!A:B,2,0)</f>
        <v>Área Azul</v>
      </c>
      <c r="K1028" t="s">
        <v>510</v>
      </c>
    </row>
    <row r="1029" spans="1:11" x14ac:dyDescent="0.3">
      <c r="A1029">
        <v>1028</v>
      </c>
      <c r="B1029" s="1">
        <v>45975.398472222201</v>
      </c>
      <c r="C1029" s="1">
        <v>45975.399004629602</v>
      </c>
      <c r="D1029" t="s">
        <v>17</v>
      </c>
      <c r="E1029" t="s">
        <v>20</v>
      </c>
      <c r="F1029" s="2">
        <v>9069</v>
      </c>
      <c r="G1029" s="2" t="str">
        <f>VLOOKUP(F1029,Produtos!A:B,2,FALSE)</f>
        <v>BRAHMA CHOPP LATA 350ML SH C/12 NPAL</v>
      </c>
      <c r="H1029" t="s">
        <v>475</v>
      </c>
      <c r="I102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9" s="9" t="str">
        <f>VLOOKUP(Table1[[#This Row],[Área avaliada]],Endereços!A:B,2,0)</f>
        <v>Área Azul</v>
      </c>
      <c r="K1029" t="s">
        <v>510</v>
      </c>
    </row>
    <row r="1030" spans="1:11" x14ac:dyDescent="0.3">
      <c r="A1030">
        <v>1029</v>
      </c>
      <c r="B1030" s="1">
        <v>45978.395266203697</v>
      </c>
      <c r="C1030" s="1">
        <v>45978.395833333299</v>
      </c>
      <c r="D1030" t="s">
        <v>17</v>
      </c>
      <c r="E1030" t="s">
        <v>23</v>
      </c>
      <c r="F1030" s="2">
        <v>9071</v>
      </c>
      <c r="G1030" s="2" t="str">
        <f>VLOOKUP(F1030,Produtos!A:B,2,FALSE)</f>
        <v>CARACU LATA 350ML SH C/12 NPAL</v>
      </c>
      <c r="H1030" t="s">
        <v>475</v>
      </c>
      <c r="I103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0" s="9" t="str">
        <f>VLOOKUP(Table1[[#This Row],[Área avaliada]],Endereços!A:B,2,0)</f>
        <v>Área Azul</v>
      </c>
      <c r="K1030" t="s">
        <v>510</v>
      </c>
    </row>
    <row r="1031" spans="1:11" x14ac:dyDescent="0.3">
      <c r="A1031">
        <v>1030</v>
      </c>
      <c r="B1031" s="1">
        <v>45978.3960069444</v>
      </c>
      <c r="C1031" s="1">
        <v>45978.396435185197</v>
      </c>
      <c r="D1031" t="s">
        <v>19</v>
      </c>
      <c r="E1031" t="s">
        <v>23</v>
      </c>
      <c r="F1031" s="2">
        <v>9092</v>
      </c>
      <c r="G1031" s="2" t="str">
        <f>VLOOKUP(F1031,Produtos!A:B,2,FALSE)</f>
        <v>TONICA ANTARCTICA DIET LT350MLSHC/12 PAL</v>
      </c>
      <c r="H1031" t="s">
        <v>473</v>
      </c>
      <c r="I103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1" s="9" t="str">
        <f>VLOOKUP(Table1[[#This Row],[Área avaliada]],Endereços!A:B,2,0)</f>
        <v>Área Azul</v>
      </c>
      <c r="K1031" t="str">
        <f>VLOOKUP(Table1[[#This Row],[Nome do avaliador ]],M:N,2,0)</f>
        <v>A</v>
      </c>
    </row>
    <row r="1032" spans="1:11" x14ac:dyDescent="0.3">
      <c r="A1032">
        <v>1031</v>
      </c>
      <c r="B1032" s="1">
        <v>45978.396481481497</v>
      </c>
      <c r="C1032" s="1">
        <v>45978.396967592598</v>
      </c>
      <c r="D1032" t="s">
        <v>17</v>
      </c>
      <c r="E1032" t="s">
        <v>23</v>
      </c>
      <c r="F1032" s="2">
        <v>35319</v>
      </c>
      <c r="G1032" s="2" t="e">
        <f>VLOOKUP(F1032,Produtos!A:B,2,FALSE)</f>
        <v>#N/A</v>
      </c>
      <c r="H1032" t="s">
        <v>475</v>
      </c>
      <c r="I103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2" s="9" t="str">
        <f>VLOOKUP(Table1[[#This Row],[Área avaliada]],Endereços!A:B,2,0)</f>
        <v>Área Azul</v>
      </c>
      <c r="K1032" t="s">
        <v>510</v>
      </c>
    </row>
    <row r="1033" spans="1:11" x14ac:dyDescent="0.3">
      <c r="A1033">
        <v>1032</v>
      </c>
      <c r="B1033" s="1">
        <v>45979.346539351798</v>
      </c>
      <c r="C1033" s="1">
        <v>45979.347557870402</v>
      </c>
      <c r="D1033" t="s">
        <v>17</v>
      </c>
      <c r="E1033" t="s">
        <v>23</v>
      </c>
      <c r="F1033" s="2">
        <v>9096</v>
      </c>
      <c r="G1033" s="2" t="str">
        <f>VLOOKUP(F1033,Produtos!A:B,2,FALSE)</f>
        <v>PEPSI COLA LATA 350ML SH C/12 NPAL</v>
      </c>
      <c r="H1033" t="s">
        <v>475</v>
      </c>
      <c r="I103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3" s="9" t="str">
        <f>VLOOKUP(Table1[[#This Row],[Área avaliada]],Endereços!A:B,2,0)</f>
        <v>Área Azul</v>
      </c>
      <c r="K1033" t="s">
        <v>510</v>
      </c>
    </row>
    <row r="1034" spans="1:11" x14ac:dyDescent="0.3">
      <c r="A1034">
        <v>1033</v>
      </c>
      <c r="B1034" s="1">
        <v>45979.347627314797</v>
      </c>
      <c r="C1034" s="1">
        <v>45979.348067129598</v>
      </c>
      <c r="D1034" t="s">
        <v>17</v>
      </c>
      <c r="E1034" t="s">
        <v>23</v>
      </c>
      <c r="F1034" s="2">
        <v>33818</v>
      </c>
      <c r="G1034" s="2" t="str">
        <f>VLOOKUP(F1034,Produtos!A:B,2,FALSE)</f>
        <v>ORIGINAL LT 350ML SH C/12 NP MULTIPACK</v>
      </c>
      <c r="H1034" t="s">
        <v>475</v>
      </c>
      <c r="I103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4" s="9" t="str">
        <f>VLOOKUP(Table1[[#This Row],[Área avaliada]],Endereços!A:B,2,0)</f>
        <v>Área Azul</v>
      </c>
      <c r="K1034" t="s">
        <v>510</v>
      </c>
    </row>
    <row r="1035" spans="1:11" x14ac:dyDescent="0.3">
      <c r="A1035">
        <v>1034</v>
      </c>
      <c r="B1035" s="1">
        <v>45979.348981481497</v>
      </c>
      <c r="C1035" s="1">
        <v>45979.349398148101</v>
      </c>
      <c r="D1035" t="s">
        <v>17</v>
      </c>
      <c r="E1035" t="s">
        <v>23</v>
      </c>
      <c r="F1035" s="2">
        <v>29580</v>
      </c>
      <c r="G1035" s="2" t="str">
        <f>VLOOKUP(F1035,Produtos!A:B,2,FALSE)</f>
        <v>STELLA ARTOIS PURE GOLD LN 330 SXP SH C4</v>
      </c>
      <c r="H1035" t="s">
        <v>475</v>
      </c>
      <c r="I103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5" s="9" t="str">
        <f>VLOOKUP(Table1[[#This Row],[Área avaliada]],Endereços!A:B,2,0)</f>
        <v>Área Azul</v>
      </c>
      <c r="K1035" t="s">
        <v>510</v>
      </c>
    </row>
    <row r="1036" spans="1:11" x14ac:dyDescent="0.3">
      <c r="A1036">
        <v>1035</v>
      </c>
      <c r="B1036" s="1">
        <v>45979.350104166697</v>
      </c>
      <c r="C1036" s="1">
        <v>45979.350555555597</v>
      </c>
      <c r="D1036" t="s">
        <v>17</v>
      </c>
      <c r="E1036" t="s">
        <v>23</v>
      </c>
      <c r="F1036" s="2">
        <v>35113</v>
      </c>
      <c r="G1036" s="2" t="e">
        <f>VLOOKUP(F1036,Produtos!A:B,2,FALSE)</f>
        <v>#N/A</v>
      </c>
      <c r="H1036" t="s">
        <v>475</v>
      </c>
      <c r="I103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6" s="9" t="str">
        <f>VLOOKUP(Table1[[#This Row],[Área avaliada]],Endereços!A:B,2,0)</f>
        <v>Área Azul</v>
      </c>
      <c r="K1036" t="s">
        <v>510</v>
      </c>
    </row>
    <row r="1037" spans="1:11" x14ac:dyDescent="0.3">
      <c r="A1037">
        <v>1036</v>
      </c>
      <c r="B1037" s="1">
        <v>45979.3516087963</v>
      </c>
      <c r="C1037" s="1">
        <v>45979.3520601852</v>
      </c>
      <c r="D1037" t="s">
        <v>17</v>
      </c>
      <c r="E1037" t="s">
        <v>23</v>
      </c>
      <c r="F1037" s="2">
        <v>22180</v>
      </c>
      <c r="G1037" s="2" t="str">
        <f>VLOOKUP(F1037,Produtos!A:B,2,FALSE)</f>
        <v>BUDWEISER ZERO LN 330ML SIX-PACK SH C/4</v>
      </c>
      <c r="H1037" t="s">
        <v>475</v>
      </c>
      <c r="I103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7" s="9" t="str">
        <f>VLOOKUP(Table1[[#This Row],[Área avaliada]],Endereços!A:B,2,0)</f>
        <v>Área Azul</v>
      </c>
      <c r="K1037" t="s">
        <v>510</v>
      </c>
    </row>
    <row r="1038" spans="1:11" x14ac:dyDescent="0.3">
      <c r="A1038">
        <v>1037</v>
      </c>
      <c r="B1038" s="1">
        <v>45979.351678240702</v>
      </c>
      <c r="C1038" s="1">
        <v>45979.352141203701</v>
      </c>
      <c r="D1038" t="s">
        <v>17</v>
      </c>
      <c r="E1038" t="s">
        <v>23</v>
      </c>
      <c r="F1038" s="2">
        <v>22180</v>
      </c>
      <c r="G1038" s="2" t="str">
        <f>VLOOKUP(F1038,Produtos!A:B,2,FALSE)</f>
        <v>BUDWEISER ZERO LN 330ML SIX-PACK SH C/4</v>
      </c>
      <c r="H1038" t="s">
        <v>475</v>
      </c>
      <c r="I103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8" s="9" t="str">
        <f>VLOOKUP(Table1[[#This Row],[Área avaliada]],Endereços!A:B,2,0)</f>
        <v>Área Azul</v>
      </c>
      <c r="K1038" t="s">
        <v>510</v>
      </c>
    </row>
    <row r="1039" spans="1:11" x14ac:dyDescent="0.3">
      <c r="A1039">
        <v>1038</v>
      </c>
      <c r="B1039" s="1">
        <v>45979.392013888901</v>
      </c>
      <c r="C1039" s="1">
        <v>45979.392453703702</v>
      </c>
      <c r="D1039" t="s">
        <v>19</v>
      </c>
      <c r="E1039" t="s">
        <v>23</v>
      </c>
      <c r="F1039" s="2">
        <v>9092</v>
      </c>
      <c r="G1039" s="2" t="str">
        <f>VLOOKUP(F1039,Produtos!A:B,2,FALSE)</f>
        <v>TONICA ANTARCTICA DIET LT350MLSHC/12 PAL</v>
      </c>
      <c r="H1039" t="s">
        <v>473</v>
      </c>
      <c r="I103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9" s="9" t="str">
        <f>VLOOKUP(Table1[[#This Row],[Área avaliada]],Endereços!A:B,2,0)</f>
        <v>Área Azul</v>
      </c>
      <c r="K1039" t="str">
        <f>VLOOKUP(Table1[[#This Row],[Nome do avaliador ]],M:N,2,0)</f>
        <v>A</v>
      </c>
    </row>
    <row r="1040" spans="1:11" x14ac:dyDescent="0.3">
      <c r="A1040">
        <v>1039</v>
      </c>
      <c r="B1040" s="1">
        <v>45979.393865740698</v>
      </c>
      <c r="C1040" s="1">
        <v>45979.394409722197</v>
      </c>
      <c r="D1040" t="s">
        <v>19</v>
      </c>
      <c r="E1040" t="s">
        <v>23</v>
      </c>
      <c r="F1040" s="2">
        <v>19310</v>
      </c>
      <c r="G1040" s="2" t="str">
        <f>VLOOKUP(F1040,Produtos!A:B,2,FALSE)</f>
        <v>ORIGINAL LATA 350ML CX CARTAO C/12 NPAL</v>
      </c>
      <c r="H1040" t="s">
        <v>474</v>
      </c>
      <c r="I104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0" s="9" t="str">
        <f>VLOOKUP(Table1[[#This Row],[Área avaliada]],Endereços!A:B,2,0)</f>
        <v>Área Azul</v>
      </c>
      <c r="K1040" t="str">
        <f>VLOOKUP(Table1[[#This Row],[Nome do avaliador ]],M:N,2,0)</f>
        <v>A</v>
      </c>
    </row>
    <row r="1041" spans="1:11" x14ac:dyDescent="0.3">
      <c r="A1041">
        <v>1040</v>
      </c>
      <c r="B1041" s="1">
        <v>45979.395358796297</v>
      </c>
      <c r="C1041" s="1">
        <v>45979.396180555603</v>
      </c>
      <c r="D1041" t="s">
        <v>19</v>
      </c>
      <c r="E1041" t="s">
        <v>23</v>
      </c>
      <c r="F1041" s="2">
        <v>33818</v>
      </c>
      <c r="G1041" s="2" t="str">
        <f>VLOOKUP(F1041,Produtos!A:B,2,FALSE)</f>
        <v>ORIGINAL LT 350ML SH C/12 NP MULTIPACK</v>
      </c>
      <c r="H1041" t="s">
        <v>473</v>
      </c>
      <c r="I104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1" s="9" t="str">
        <f>VLOOKUP(Table1[[#This Row],[Área avaliada]],Endereços!A:B,2,0)</f>
        <v>Área Azul</v>
      </c>
      <c r="K1041" t="str">
        <f>VLOOKUP(Table1[[#This Row],[Nome do avaliador ]],M:N,2,0)</f>
        <v>A</v>
      </c>
    </row>
    <row r="1042" spans="1:11" x14ac:dyDescent="0.3">
      <c r="A1042">
        <v>1041</v>
      </c>
      <c r="B1042" s="1">
        <v>45979.434502314798</v>
      </c>
      <c r="C1042" s="1">
        <v>45979.434965277796</v>
      </c>
      <c r="D1042" t="s">
        <v>17</v>
      </c>
      <c r="E1042" t="s">
        <v>20</v>
      </c>
      <c r="F1042" s="2">
        <v>9067</v>
      </c>
      <c r="G1042" s="2" t="str">
        <f>VLOOKUP(F1042,Produtos!A:B,2,FALSE)</f>
        <v>ANTARCTICA PILSEN LATA 350ML SH C/12 NPA</v>
      </c>
      <c r="H1042" t="s">
        <v>475</v>
      </c>
      <c r="I104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2" s="9" t="str">
        <f>VLOOKUP(Table1[[#This Row],[Área avaliada]],Endereços!A:B,2,0)</f>
        <v>Área Azul</v>
      </c>
      <c r="K1042" t="s">
        <v>510</v>
      </c>
    </row>
    <row r="1043" spans="1:11" x14ac:dyDescent="0.3">
      <c r="A1043">
        <v>1042</v>
      </c>
      <c r="B1043" s="1">
        <v>45980.443206018499</v>
      </c>
      <c r="C1043" s="1">
        <v>45980.443634259304</v>
      </c>
      <c r="D1043" t="s">
        <v>19</v>
      </c>
      <c r="E1043" t="s">
        <v>23</v>
      </c>
      <c r="F1043" s="2">
        <v>9087</v>
      </c>
      <c r="G1043" s="2" t="str">
        <f>VLOOKUP(F1043,Produtos!A:B,2,FALSE)</f>
        <v>SODA LIMONADA ANTAR LT350ML SH C/12 NPAL</v>
      </c>
      <c r="H1043" t="s">
        <v>473</v>
      </c>
      <c r="I104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3" s="9" t="str">
        <f>VLOOKUP(Table1[[#This Row],[Área avaliada]],Endereços!A:B,2,0)</f>
        <v>Área Azul</v>
      </c>
      <c r="K1043" t="str">
        <f>VLOOKUP(Table1[[#This Row],[Nome do avaliador ]],M:N,2,0)</f>
        <v>A</v>
      </c>
    </row>
    <row r="1044" spans="1:11" x14ac:dyDescent="0.3">
      <c r="A1044">
        <v>1043</v>
      </c>
      <c r="B1044" s="1">
        <v>45980.444479166697</v>
      </c>
      <c r="C1044" s="1">
        <v>45980.444918981499</v>
      </c>
      <c r="D1044" t="s">
        <v>17</v>
      </c>
      <c r="E1044" t="s">
        <v>23</v>
      </c>
      <c r="F1044" s="2">
        <v>13566</v>
      </c>
      <c r="G1044" s="2" t="str">
        <f>VLOOKUP(F1044,Produtos!A:B,2,FALSE)</f>
        <v>SKOL BEATS SENSES LATA 269ML CX C/8 FRID</v>
      </c>
      <c r="H1044" t="s">
        <v>473</v>
      </c>
      <c r="I104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4" s="9" t="str">
        <f>VLOOKUP(Table1[[#This Row],[Área avaliada]],Endereços!A:B,2,0)</f>
        <v>Área Azul</v>
      </c>
      <c r="K1044" t="s">
        <v>510</v>
      </c>
    </row>
    <row r="1045" spans="1:11" x14ac:dyDescent="0.3">
      <c r="A1045">
        <v>1044</v>
      </c>
      <c r="B1045" s="1">
        <v>45980.444884259297</v>
      </c>
      <c r="C1045" s="1">
        <v>45980.445509259298</v>
      </c>
      <c r="D1045" t="s">
        <v>17</v>
      </c>
      <c r="E1045" t="s">
        <v>23</v>
      </c>
      <c r="F1045" s="2">
        <v>9083</v>
      </c>
      <c r="G1045" s="2" t="str">
        <f>VLOOKUP(F1045,Produtos!A:B,2,FALSE)</f>
        <v>SKOL LT 473ML SH C/12 NPAL</v>
      </c>
      <c r="H1045" t="s">
        <v>475</v>
      </c>
      <c r="I104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5" s="9" t="str">
        <f>VLOOKUP(Table1[[#This Row],[Área avaliada]],Endereços!A:B,2,0)</f>
        <v>Área Azul</v>
      </c>
      <c r="K1045" t="s">
        <v>510</v>
      </c>
    </row>
    <row r="1046" spans="1:11" x14ac:dyDescent="0.3">
      <c r="A1046">
        <v>1045</v>
      </c>
      <c r="B1046" s="1">
        <v>45980.448321759301</v>
      </c>
      <c r="C1046" s="1">
        <v>45980.448923611097</v>
      </c>
      <c r="D1046" t="s">
        <v>17</v>
      </c>
      <c r="E1046" t="s">
        <v>25</v>
      </c>
      <c r="F1046" s="2">
        <v>18490</v>
      </c>
      <c r="G1046" s="2" t="str">
        <f>VLOOKUP(F1046,Produtos!A:B,2,FALSE)</f>
        <v>PATAGONIA AMB LAG NAC LATA 473ML 6PACK</v>
      </c>
      <c r="H1046" t="s">
        <v>475</v>
      </c>
      <c r="I104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6" s="9" t="str">
        <f>VLOOKUP(Table1[[#This Row],[Área avaliada]],Endereços!A:B,2,0)</f>
        <v>Área Azul</v>
      </c>
      <c r="K1046" t="s">
        <v>510</v>
      </c>
    </row>
    <row r="1047" spans="1:11" x14ac:dyDescent="0.3">
      <c r="A1047">
        <v>1046</v>
      </c>
      <c r="B1047" s="1">
        <v>45980.450474537</v>
      </c>
      <c r="C1047" s="1">
        <v>45980.451215277797</v>
      </c>
      <c r="D1047" t="s">
        <v>19</v>
      </c>
      <c r="E1047" t="s">
        <v>20</v>
      </c>
      <c r="F1047" s="2">
        <v>33820</v>
      </c>
      <c r="G1047" s="2" t="e">
        <f>VLOOKUP(F1047,Produtos!A:B,2,FALSE)</f>
        <v>#N/A</v>
      </c>
      <c r="H1047" t="s">
        <v>473</v>
      </c>
      <c r="I104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7" s="9" t="str">
        <f>VLOOKUP(Table1[[#This Row],[Área avaliada]],Endereços!A:B,2,0)</f>
        <v>Área Azul</v>
      </c>
      <c r="K1047" t="str">
        <f>VLOOKUP(Table1[[#This Row],[Nome do avaliador ]],M:N,2,0)</f>
        <v>A</v>
      </c>
    </row>
    <row r="1048" spans="1:11" x14ac:dyDescent="0.3">
      <c r="A1048">
        <v>1047</v>
      </c>
      <c r="B1048" s="1">
        <v>45981.437523148103</v>
      </c>
      <c r="C1048" s="1">
        <v>45981.438067129602</v>
      </c>
      <c r="D1048" t="s">
        <v>17</v>
      </c>
      <c r="E1048" t="s">
        <v>25</v>
      </c>
      <c r="F1048" s="2">
        <v>19310</v>
      </c>
      <c r="G1048" s="2" t="str">
        <f>VLOOKUP(F1048,Produtos!A:B,2,FALSE)</f>
        <v>ORIGINAL LATA 350ML CX CARTAO C/12 NPAL</v>
      </c>
      <c r="H1048" t="s">
        <v>475</v>
      </c>
      <c r="I104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8" s="9" t="str">
        <f>VLOOKUP(Table1[[#This Row],[Área avaliada]],Endereços!A:B,2,0)</f>
        <v>Área Azul</v>
      </c>
      <c r="K1048" t="s">
        <v>510</v>
      </c>
    </row>
    <row r="1049" spans="1:11" x14ac:dyDescent="0.3">
      <c r="A1049">
        <v>1048</v>
      </c>
      <c r="B1049" s="1">
        <v>45981.438240740703</v>
      </c>
      <c r="C1049" s="1">
        <v>45981.438692129603</v>
      </c>
      <c r="D1049" t="s">
        <v>19</v>
      </c>
      <c r="E1049" t="s">
        <v>25</v>
      </c>
      <c r="F1049" s="2">
        <v>19310</v>
      </c>
      <c r="G1049" s="2" t="str">
        <f>VLOOKUP(F1049,Produtos!A:B,2,FALSE)</f>
        <v>ORIGINAL LATA 350ML CX CARTAO C/12 NPAL</v>
      </c>
      <c r="H1049" t="s">
        <v>473</v>
      </c>
      <c r="I104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9" s="9" t="str">
        <f>VLOOKUP(Table1[[#This Row],[Área avaliada]],Endereços!A:B,2,0)</f>
        <v>Área Azul</v>
      </c>
      <c r="K1049" t="str">
        <f>VLOOKUP(Table1[[#This Row],[Nome do avaliador ]],M:N,2,0)</f>
        <v>A</v>
      </c>
    </row>
    <row r="1050" spans="1:11" x14ac:dyDescent="0.3">
      <c r="A1050">
        <v>1049</v>
      </c>
      <c r="B1050" s="1">
        <v>45981.439363425903</v>
      </c>
      <c r="C1050" s="1">
        <v>45981.4399305556</v>
      </c>
      <c r="D1050" t="s">
        <v>17</v>
      </c>
      <c r="E1050" t="s">
        <v>23</v>
      </c>
      <c r="F1050" s="2">
        <v>19310</v>
      </c>
      <c r="G1050" s="2" t="str">
        <f>VLOOKUP(F1050,Produtos!A:B,2,FALSE)</f>
        <v>ORIGINAL LATA 350ML CX CARTAO C/12 NPAL</v>
      </c>
      <c r="H1050" t="s">
        <v>475</v>
      </c>
      <c r="I105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0" s="9" t="str">
        <f>VLOOKUP(Table1[[#This Row],[Área avaliada]],Endereços!A:B,2,0)</f>
        <v>Área Azul</v>
      </c>
      <c r="K1050" t="s">
        <v>510</v>
      </c>
    </row>
    <row r="1051" spans="1:11" x14ac:dyDescent="0.3">
      <c r="A1051">
        <v>1050</v>
      </c>
      <c r="B1051" s="1">
        <v>45981.439768518503</v>
      </c>
      <c r="C1051" s="1">
        <v>45981.440532407403</v>
      </c>
      <c r="D1051" t="s">
        <v>19</v>
      </c>
      <c r="E1051" t="s">
        <v>23</v>
      </c>
      <c r="F1051" s="2">
        <v>18836</v>
      </c>
      <c r="G1051" s="2" t="str">
        <f>VLOOKUP(F1051,Produtos!A:B,2,FALSE)</f>
        <v>CORONA EXTRA NAC LN 330 CX C/24 NPAL</v>
      </c>
      <c r="H1051" t="s">
        <v>485</v>
      </c>
      <c r="I105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1" s="9" t="str">
        <f>VLOOKUP(Table1[[#This Row],[Área avaliada]],Endereços!A:B,2,0)</f>
        <v>Área Azul</v>
      </c>
      <c r="K1051" t="str">
        <f>VLOOKUP(Table1[[#This Row],[Nome do avaliador ]],M:N,2,0)</f>
        <v>A</v>
      </c>
    </row>
    <row r="1052" spans="1:11" x14ac:dyDescent="0.3">
      <c r="A1052">
        <v>1051</v>
      </c>
      <c r="B1052" s="1">
        <v>45982.340787036999</v>
      </c>
      <c r="C1052" s="1">
        <v>45982.3413194444</v>
      </c>
      <c r="D1052" t="s">
        <v>17</v>
      </c>
      <c r="E1052" t="s">
        <v>23</v>
      </c>
      <c r="F1052" s="2">
        <v>21658</v>
      </c>
      <c r="G1052" s="2" t="str">
        <f>VLOOKUP(F1052,Produtos!A:B,2,FALSE)</f>
        <v>SPATEN N LT SLEEK 350ML CX CART C12</v>
      </c>
      <c r="H1052" t="s">
        <v>475</v>
      </c>
      <c r="I105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2" s="9" t="str">
        <f>VLOOKUP(Table1[[#This Row],[Área avaliada]],Endereços!A:B,2,0)</f>
        <v>Área Azul</v>
      </c>
      <c r="K1052" t="s">
        <v>510</v>
      </c>
    </row>
    <row r="1053" spans="1:11" x14ac:dyDescent="0.3">
      <c r="A1053">
        <v>1052</v>
      </c>
      <c r="B1053" s="1">
        <v>45982.341666666704</v>
      </c>
      <c r="C1053" s="1">
        <v>45982.3421296296</v>
      </c>
      <c r="D1053" t="s">
        <v>17</v>
      </c>
      <c r="E1053" t="s">
        <v>23</v>
      </c>
      <c r="F1053" s="2">
        <v>9085</v>
      </c>
      <c r="G1053" s="2" t="str">
        <f>VLOOKUP(F1053,Produtos!A:B,2,FALSE)</f>
        <v>GUARANA CHP ANTARCT DIET LT350ML SHC/12</v>
      </c>
      <c r="H1053" t="s">
        <v>475</v>
      </c>
      <c r="I105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3" s="9" t="str">
        <f>VLOOKUP(Table1[[#This Row],[Área avaliada]],Endereços!A:B,2,0)</f>
        <v>Área Azul</v>
      </c>
      <c r="K1053" t="s">
        <v>510</v>
      </c>
    </row>
    <row r="1054" spans="1:11" x14ac:dyDescent="0.3">
      <c r="A1054">
        <v>1053</v>
      </c>
      <c r="B1054" s="1">
        <v>45982.343449074098</v>
      </c>
      <c r="C1054" s="1">
        <v>45982.343923611101</v>
      </c>
      <c r="D1054" t="s">
        <v>17</v>
      </c>
      <c r="E1054" t="s">
        <v>23</v>
      </c>
      <c r="F1054" s="2">
        <v>29580</v>
      </c>
      <c r="G1054" s="2" t="str">
        <f>VLOOKUP(F1054,Produtos!A:B,2,FALSE)</f>
        <v>STELLA ARTOIS PURE GOLD LN 330 SXP SH C4</v>
      </c>
      <c r="H1054" t="s">
        <v>475</v>
      </c>
      <c r="I105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4" s="9" t="str">
        <f>VLOOKUP(Table1[[#This Row],[Área avaliada]],Endereços!A:B,2,0)</f>
        <v>Área Azul</v>
      </c>
      <c r="K1054" t="s">
        <v>510</v>
      </c>
    </row>
    <row r="1055" spans="1:11" x14ac:dyDescent="0.3">
      <c r="A1055">
        <v>1054</v>
      </c>
      <c r="B1055" s="1">
        <v>45982.344664351796</v>
      </c>
      <c r="C1055" s="1">
        <v>45982.345219907402</v>
      </c>
      <c r="D1055" t="s">
        <v>17</v>
      </c>
      <c r="E1055" t="s">
        <v>25</v>
      </c>
      <c r="F1055" s="2">
        <v>17797</v>
      </c>
      <c r="G1055" s="2" t="str">
        <f>VLOOKUP(F1055,Produtos!A:B,2,FALSE)</f>
        <v>BRAHMA CHOPP LATA 350ML SH 18 MULTIPACK</v>
      </c>
      <c r="H1055" t="s">
        <v>475</v>
      </c>
      <c r="I105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5" s="9" t="str">
        <f>VLOOKUP(Table1[[#This Row],[Área avaliada]],Endereços!A:B,2,0)</f>
        <v>Área Azul</v>
      </c>
      <c r="K1055" t="s">
        <v>510</v>
      </c>
    </row>
    <row r="1056" spans="1:11" x14ac:dyDescent="0.3">
      <c r="A1056">
        <v>1055</v>
      </c>
      <c r="B1056" s="1">
        <v>45982.345983796302</v>
      </c>
      <c r="C1056" s="1">
        <v>45982.346469907403</v>
      </c>
      <c r="D1056" t="s">
        <v>17</v>
      </c>
      <c r="E1056" t="s">
        <v>20</v>
      </c>
      <c r="F1056" s="2">
        <v>9320</v>
      </c>
      <c r="G1056" s="2" t="str">
        <f>VLOOKUP(F1056,Produtos!A:B,2,FALSE)</f>
        <v>BRAHMA CHOPP LT 473ML SH C/12 NPAL</v>
      </c>
      <c r="H1056" t="s">
        <v>475</v>
      </c>
      <c r="I105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6" s="9" t="str">
        <f>VLOOKUP(Table1[[#This Row],[Área avaliada]],Endereços!A:B,2,0)</f>
        <v>Área Azul</v>
      </c>
      <c r="K1056" t="s">
        <v>510</v>
      </c>
    </row>
    <row r="1057" spans="1:11" x14ac:dyDescent="0.3">
      <c r="A1057">
        <v>1056</v>
      </c>
      <c r="B1057" s="1">
        <v>45982.420115740701</v>
      </c>
      <c r="C1057" s="1">
        <v>45982.420925925901</v>
      </c>
      <c r="D1057" t="s">
        <v>19</v>
      </c>
      <c r="E1057" t="s">
        <v>33</v>
      </c>
      <c r="F1057" s="2">
        <v>2349</v>
      </c>
      <c r="G1057" s="2" t="str">
        <f>VLOOKUP(F1057,Produtos!A:B,2,FALSE)</f>
        <v>GUARANA CHP ANTARCTICA PET 2L CAIXA C/6</v>
      </c>
      <c r="H1057" t="s">
        <v>478</v>
      </c>
      <c r="I105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7" s="9" t="str">
        <f>VLOOKUP(Table1[[#This Row],[Área avaliada]],Endereços!A:B,2,0)</f>
        <v>Área Verde</v>
      </c>
      <c r="K1057" t="str">
        <f>VLOOKUP(Table1[[#This Row],[Nome do avaliador ]],M:N,2,0)</f>
        <v>A</v>
      </c>
    </row>
    <row r="1058" spans="1:11" x14ac:dyDescent="0.3">
      <c r="A1058">
        <v>1057</v>
      </c>
      <c r="B1058" s="1">
        <v>45982.423125000001</v>
      </c>
      <c r="C1058" s="1">
        <v>45982.4238541667</v>
      </c>
      <c r="D1058" t="s">
        <v>19</v>
      </c>
      <c r="E1058" t="s">
        <v>20</v>
      </c>
      <c r="F1058" s="2">
        <v>9067</v>
      </c>
      <c r="G1058" s="2" t="str">
        <f>VLOOKUP(F1058,Produtos!A:B,2,FALSE)</f>
        <v>ANTARCTICA PILSEN LATA 350ML SH C/12 NPA</v>
      </c>
      <c r="H1058" t="s">
        <v>473</v>
      </c>
      <c r="I105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8" s="9" t="str">
        <f>VLOOKUP(Table1[[#This Row],[Área avaliada]],Endereços!A:B,2,0)</f>
        <v>Área Azul</v>
      </c>
      <c r="K1058" t="str">
        <f>VLOOKUP(Table1[[#This Row],[Nome do avaliador ]],M:N,2,0)</f>
        <v>A</v>
      </c>
    </row>
    <row r="1059" spans="1:11" x14ac:dyDescent="0.3">
      <c r="A1059">
        <v>1058</v>
      </c>
      <c r="B1059" s="1">
        <v>45982.423912036997</v>
      </c>
      <c r="C1059" s="1">
        <v>45982.424837963001</v>
      </c>
      <c r="D1059" t="s">
        <v>19</v>
      </c>
      <c r="E1059" t="s">
        <v>20</v>
      </c>
      <c r="F1059" s="2">
        <v>1166</v>
      </c>
      <c r="G1059" s="2" t="str">
        <f>VLOOKUP(F1059,Produtos!A:B,2,FALSE)</f>
        <v>SUKITA UVA PET 2L CAIXA C/6</v>
      </c>
      <c r="H1059" t="s">
        <v>477</v>
      </c>
      <c r="I105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9" s="9" t="str">
        <f>VLOOKUP(Table1[[#This Row],[Área avaliada]],Endereços!A:B,2,0)</f>
        <v>Área Azul</v>
      </c>
      <c r="K1059" t="str">
        <f>VLOOKUP(Table1[[#This Row],[Nome do avaliador ]],M:N,2,0)</f>
        <v>A</v>
      </c>
    </row>
    <row r="1060" spans="1:11" x14ac:dyDescent="0.3">
      <c r="A1060">
        <v>1059</v>
      </c>
      <c r="B1060" s="1">
        <v>45982.428738425901</v>
      </c>
      <c r="C1060" s="1">
        <v>45982.429409722201</v>
      </c>
      <c r="D1060" t="s">
        <v>19</v>
      </c>
      <c r="E1060" t="s">
        <v>20</v>
      </c>
      <c r="F1060" s="2">
        <v>12948</v>
      </c>
      <c r="G1060" s="2" t="str">
        <f>VLOOKUP(F1060,Produtos!A:B,2,FALSE)</f>
        <v>BRAHMA CHOPP ZERO LATA 350 SH CX C12 NPA</v>
      </c>
      <c r="H1060" t="s">
        <v>473</v>
      </c>
      <c r="I106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0" s="9" t="str">
        <f>VLOOKUP(Table1[[#This Row],[Área avaliada]],Endereços!A:B,2,0)</f>
        <v>Área Azul</v>
      </c>
      <c r="K1060" t="str">
        <f>VLOOKUP(Table1[[#This Row],[Nome do avaliador ]],M:N,2,0)</f>
        <v>A</v>
      </c>
    </row>
    <row r="1061" spans="1:11" x14ac:dyDescent="0.3">
      <c r="A1061">
        <v>1060</v>
      </c>
      <c r="B1061" s="1">
        <v>45982.430729166699</v>
      </c>
      <c r="C1061" s="1">
        <v>45982.431250000001</v>
      </c>
      <c r="D1061" t="s">
        <v>19</v>
      </c>
      <c r="E1061" t="s">
        <v>25</v>
      </c>
      <c r="F1061" s="2">
        <v>12948</v>
      </c>
      <c r="G1061" s="2" t="str">
        <f>VLOOKUP(F1061,Produtos!A:B,2,FALSE)</f>
        <v>BRAHMA CHOPP ZERO LATA 350 SH CX C12 NPA</v>
      </c>
      <c r="H1061" t="s">
        <v>473</v>
      </c>
      <c r="I106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1" s="9" t="str">
        <f>VLOOKUP(Table1[[#This Row],[Área avaliada]],Endereços!A:B,2,0)</f>
        <v>Área Azul</v>
      </c>
      <c r="K1061" t="str">
        <f>VLOOKUP(Table1[[#This Row],[Nome do avaliador ]],M:N,2,0)</f>
        <v>A</v>
      </c>
    </row>
    <row r="1062" spans="1:11" x14ac:dyDescent="0.3">
      <c r="A1062">
        <v>1061</v>
      </c>
      <c r="B1062" s="1">
        <v>45982.432835648098</v>
      </c>
      <c r="C1062" s="1">
        <v>45982.433379629598</v>
      </c>
      <c r="D1062" t="s">
        <v>19</v>
      </c>
      <c r="E1062" t="s">
        <v>23</v>
      </c>
      <c r="F1062" s="2">
        <v>9068</v>
      </c>
      <c r="G1062" s="2" t="str">
        <f>VLOOKUP(F1062,Produtos!A:B,2,FALSE)</f>
        <v>SKOL LATA 350ML SH C/12 NPAL</v>
      </c>
      <c r="H1062" t="s">
        <v>473</v>
      </c>
      <c r="I106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2" s="9" t="str">
        <f>VLOOKUP(Table1[[#This Row],[Área avaliada]],Endereços!A:B,2,0)</f>
        <v>Área Azul</v>
      </c>
      <c r="K1062" t="str">
        <f>VLOOKUP(Table1[[#This Row],[Nome do avaliador ]],M:N,2,0)</f>
        <v>A</v>
      </c>
    </row>
    <row r="1063" spans="1:11" x14ac:dyDescent="0.3">
      <c r="A1063">
        <v>1062</v>
      </c>
      <c r="B1063" s="1">
        <v>45982.454918981501</v>
      </c>
      <c r="C1063" s="1">
        <v>45982.455601851798</v>
      </c>
      <c r="D1063" t="s">
        <v>7</v>
      </c>
      <c r="E1063" t="s">
        <v>18</v>
      </c>
      <c r="G1063" t="e">
        <f>VLOOKUP(F1063,Produtos!A:B,2,FALSE)</f>
        <v>#N/A</v>
      </c>
      <c r="I106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3" s="9" t="str">
        <f>VLOOKUP(Table1[[#This Row],[Área avaliada]],Endereços!A:B,2,0)</f>
        <v>Área Vermelho</v>
      </c>
      <c r="K1063" t="str">
        <f>VLOOKUP(Table1[[#This Row],[Nome do avaliador ]],M:N,2,0)</f>
        <v>A</v>
      </c>
    </row>
    <row r="1064" spans="1:11" x14ac:dyDescent="0.3">
      <c r="A1064">
        <v>1063</v>
      </c>
      <c r="B1064" s="1">
        <v>45983.260405092602</v>
      </c>
      <c r="C1064" s="1">
        <v>45983.260821759301</v>
      </c>
      <c r="D1064" t="s">
        <v>19</v>
      </c>
      <c r="E1064" t="s">
        <v>23</v>
      </c>
      <c r="F1064" s="2">
        <v>9068</v>
      </c>
      <c r="G1064" s="2" t="str">
        <f>VLOOKUP(F1064,Produtos!A:B,2,FALSE)</f>
        <v>SKOL LATA 350ML SH C/12 NPAL</v>
      </c>
      <c r="H1064" t="s">
        <v>473</v>
      </c>
      <c r="I106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4" s="9" t="str">
        <f>VLOOKUP(Table1[[#This Row],[Área avaliada]],Endereços!A:B,2,0)</f>
        <v>Área Azul</v>
      </c>
      <c r="K1064" t="str">
        <f>VLOOKUP(Table1[[#This Row],[Nome do avaliador ]],M:N,2,0)</f>
        <v>A</v>
      </c>
    </row>
    <row r="1065" spans="1:11" x14ac:dyDescent="0.3">
      <c r="A1065">
        <v>1064</v>
      </c>
      <c r="B1065" s="1">
        <v>45985.482569444401</v>
      </c>
      <c r="C1065" s="1">
        <v>45985.4830671296</v>
      </c>
      <c r="D1065" t="s">
        <v>17</v>
      </c>
      <c r="E1065" t="s">
        <v>23</v>
      </c>
      <c r="F1065" s="2">
        <v>30942</v>
      </c>
      <c r="G1065" s="2" t="str">
        <f>VLOOKUP(F1065,Produtos!A:B,2,FALSE)</f>
        <v>SPATEN N LONG NECK 330ML SIX-PACK SH C4</v>
      </c>
      <c r="H1065" t="s">
        <v>475</v>
      </c>
      <c r="I106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5" s="9" t="str">
        <f>VLOOKUP(Table1[[#This Row],[Área avaliada]],Endereços!A:B,2,0)</f>
        <v>Área Azul</v>
      </c>
      <c r="K1065" t="s">
        <v>510</v>
      </c>
    </row>
    <row r="1066" spans="1:11" x14ac:dyDescent="0.3">
      <c r="A1066">
        <v>1065</v>
      </c>
      <c r="B1066" s="1">
        <v>45985.483310185198</v>
      </c>
      <c r="C1066" s="1">
        <v>45985.483958333301</v>
      </c>
      <c r="D1066" t="s">
        <v>17</v>
      </c>
      <c r="E1066" t="s">
        <v>23</v>
      </c>
      <c r="F1066" s="2">
        <v>13566</v>
      </c>
      <c r="G1066" s="2" t="str">
        <f>VLOOKUP(F1066,Produtos!A:B,2,FALSE)</f>
        <v>SKOL BEATS SENSES LATA 269ML CX C/8 FRID</v>
      </c>
      <c r="H1066" t="s">
        <v>475</v>
      </c>
      <c r="I106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6" s="9" t="str">
        <f>VLOOKUP(Table1[[#This Row],[Área avaliada]],Endereços!A:B,2,0)</f>
        <v>Área Azul</v>
      </c>
      <c r="K1066" t="s">
        <v>510</v>
      </c>
    </row>
    <row r="1067" spans="1:11" x14ac:dyDescent="0.3">
      <c r="A1067">
        <v>1066</v>
      </c>
      <c r="B1067" s="1">
        <v>45985.4862615741</v>
      </c>
      <c r="C1067" s="1">
        <v>45985.486689814803</v>
      </c>
      <c r="D1067" t="s">
        <v>17</v>
      </c>
      <c r="E1067" t="s">
        <v>23</v>
      </c>
      <c r="F1067" s="2">
        <v>9085</v>
      </c>
      <c r="G1067" s="2" t="str">
        <f>VLOOKUP(F1067,Produtos!A:B,2,FALSE)</f>
        <v>GUARANA CHP ANTARCT DIET LT350ML SHC/12</v>
      </c>
      <c r="H1067" t="s">
        <v>475</v>
      </c>
      <c r="I106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7" s="9" t="str">
        <f>VLOOKUP(Table1[[#This Row],[Área avaliada]],Endereços!A:B,2,0)</f>
        <v>Área Azul</v>
      </c>
      <c r="K1067" t="s">
        <v>510</v>
      </c>
    </row>
    <row r="1068" spans="1:11" x14ac:dyDescent="0.3">
      <c r="A1068">
        <v>1067</v>
      </c>
      <c r="B1068" s="1">
        <v>45985.487407407403</v>
      </c>
      <c r="C1068" s="1">
        <v>45985.487835648099</v>
      </c>
      <c r="D1068" t="s">
        <v>17</v>
      </c>
      <c r="E1068" t="s">
        <v>23</v>
      </c>
      <c r="F1068" s="2">
        <v>22180</v>
      </c>
      <c r="G1068" s="2" t="str">
        <f>VLOOKUP(F1068,Produtos!A:B,2,FALSE)</f>
        <v>BUDWEISER ZERO LN 330ML SIX-PACK SH C/4</v>
      </c>
      <c r="H1068" t="s">
        <v>475</v>
      </c>
      <c r="I106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8" s="9" t="str">
        <f>VLOOKUP(Table1[[#This Row],[Área avaliada]],Endereços!A:B,2,0)</f>
        <v>Área Azul</v>
      </c>
      <c r="K1068" t="s">
        <v>510</v>
      </c>
    </row>
    <row r="1069" spans="1:11" x14ac:dyDescent="0.3">
      <c r="A1069">
        <v>1068</v>
      </c>
      <c r="B1069" s="1">
        <v>45986.331759259301</v>
      </c>
      <c r="C1069" s="1">
        <v>45986.332280092603</v>
      </c>
      <c r="D1069" t="s">
        <v>17</v>
      </c>
      <c r="E1069" t="s">
        <v>23</v>
      </c>
      <c r="F1069" s="2">
        <v>34608</v>
      </c>
      <c r="G1069" s="2" t="str">
        <f>VLOOKUP(F1069,Produtos!A:B,2,FALSE)</f>
        <v>SKOL LATA 350ML SH C/12 MULTIPAK</v>
      </c>
      <c r="H1069" t="s">
        <v>475</v>
      </c>
      <c r="I106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9" s="9" t="str">
        <f>VLOOKUP(Table1[[#This Row],[Área avaliada]],Endereços!A:B,2,0)</f>
        <v>Área Azul</v>
      </c>
      <c r="K1069" t="s">
        <v>510</v>
      </c>
    </row>
    <row r="1070" spans="1:11" x14ac:dyDescent="0.3">
      <c r="A1070">
        <v>1069</v>
      </c>
      <c r="B1070" s="1">
        <v>45986.332905092597</v>
      </c>
      <c r="C1070" s="1">
        <v>45986.333425925899</v>
      </c>
      <c r="D1070" t="s">
        <v>19</v>
      </c>
      <c r="E1070" t="s">
        <v>25</v>
      </c>
      <c r="F1070" s="2">
        <v>1166</v>
      </c>
      <c r="G1070" s="2" t="str">
        <f>VLOOKUP(F1070,Produtos!A:B,2,FALSE)</f>
        <v>SUKITA UVA PET 2L CAIXA C/6</v>
      </c>
      <c r="H1070" t="s">
        <v>478</v>
      </c>
      <c r="I107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0" s="9" t="str">
        <f>VLOOKUP(Table1[[#This Row],[Área avaliada]],Endereços!A:B,2,0)</f>
        <v>Área Azul</v>
      </c>
      <c r="K1070" t="str">
        <f>VLOOKUP(Table1[[#This Row],[Nome do avaliador ]],M:N,2,0)</f>
        <v>A</v>
      </c>
    </row>
    <row r="1071" spans="1:11" x14ac:dyDescent="0.3">
      <c r="A1071">
        <v>1070</v>
      </c>
      <c r="B1071" s="1">
        <v>45986.334606481498</v>
      </c>
      <c r="C1071" s="1">
        <v>45986.3350347222</v>
      </c>
      <c r="D1071" t="s">
        <v>17</v>
      </c>
      <c r="E1071" t="s">
        <v>23</v>
      </c>
      <c r="F1071" s="2">
        <v>21658</v>
      </c>
      <c r="G1071" s="2" t="str">
        <f>VLOOKUP(F1071,Produtos!A:B,2,FALSE)</f>
        <v>SPATEN N LT SLEEK 350ML CX CART C12</v>
      </c>
      <c r="H1071" t="s">
        <v>475</v>
      </c>
      <c r="I107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1" s="9" t="str">
        <f>VLOOKUP(Table1[[#This Row],[Área avaliada]],Endereços!A:B,2,0)</f>
        <v>Área Azul</v>
      </c>
      <c r="K1071" t="s">
        <v>510</v>
      </c>
    </row>
    <row r="1072" spans="1:11" x14ac:dyDescent="0.3">
      <c r="A1072">
        <v>1071</v>
      </c>
      <c r="B1072" s="1">
        <v>45986.335370370398</v>
      </c>
      <c r="C1072" s="1">
        <v>45986.335740740702</v>
      </c>
      <c r="D1072" t="s">
        <v>19</v>
      </c>
      <c r="E1072" t="s">
        <v>23</v>
      </c>
      <c r="F1072" s="2">
        <v>21658</v>
      </c>
      <c r="G1072" s="2" t="str">
        <f>VLOOKUP(F1072,Produtos!A:B,2,FALSE)</f>
        <v>SPATEN N LT SLEEK 350ML CX CART C12</v>
      </c>
      <c r="H1072" t="s">
        <v>473</v>
      </c>
      <c r="I107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2" s="9" t="str">
        <f>VLOOKUP(Table1[[#This Row],[Área avaliada]],Endereços!A:B,2,0)</f>
        <v>Área Azul</v>
      </c>
      <c r="K1072" t="str">
        <f>VLOOKUP(Table1[[#This Row],[Nome do avaliador ]],M:N,2,0)</f>
        <v>A</v>
      </c>
    </row>
    <row r="1073" spans="1:11" x14ac:dyDescent="0.3">
      <c r="A1073">
        <v>1072</v>
      </c>
      <c r="B1073" s="1">
        <v>45987.392187500001</v>
      </c>
      <c r="C1073" s="1">
        <v>45987.392881944397</v>
      </c>
      <c r="D1073" t="s">
        <v>19</v>
      </c>
      <c r="E1073" t="s">
        <v>23</v>
      </c>
      <c r="F1073" s="2">
        <v>9068</v>
      </c>
      <c r="G1073" s="2" t="str">
        <f>VLOOKUP(F1073,Produtos!A:B,2,FALSE)</f>
        <v>SKOL LATA 350ML SH C/12 NPAL</v>
      </c>
      <c r="H1073" t="s">
        <v>484</v>
      </c>
      <c r="I107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3" s="9" t="str">
        <f>VLOOKUP(Table1[[#This Row],[Área avaliada]],Endereços!A:B,2,0)</f>
        <v>Área Azul</v>
      </c>
      <c r="K1073" t="str">
        <f>VLOOKUP(Table1[[#This Row],[Nome do avaliador ]],M:N,2,0)</f>
        <v>A</v>
      </c>
    </row>
    <row r="1074" spans="1:11" x14ac:dyDescent="0.3">
      <c r="A1074">
        <v>1073</v>
      </c>
      <c r="B1074" s="1">
        <v>45987.394895833299</v>
      </c>
      <c r="C1074" s="1">
        <v>45987.395347222198</v>
      </c>
      <c r="D1074" t="s">
        <v>19</v>
      </c>
      <c r="E1074" t="s">
        <v>23</v>
      </c>
      <c r="F1074" s="2">
        <v>9092</v>
      </c>
      <c r="G1074" s="2" t="str">
        <f>VLOOKUP(F1074,Produtos!A:B,2,FALSE)</f>
        <v>TONICA ANTARCTICA DIET LT350MLSHC/12 PAL</v>
      </c>
      <c r="H1074" t="s">
        <v>473</v>
      </c>
      <c r="I107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4" s="9" t="str">
        <f>VLOOKUP(Table1[[#This Row],[Área avaliada]],Endereços!A:B,2,0)</f>
        <v>Área Azul</v>
      </c>
      <c r="K1074" t="str">
        <f>VLOOKUP(Table1[[#This Row],[Nome do avaliador ]],M:N,2,0)</f>
        <v>A</v>
      </c>
    </row>
    <row r="1075" spans="1:11" x14ac:dyDescent="0.3">
      <c r="A1075">
        <v>1074</v>
      </c>
      <c r="B1075" s="1">
        <v>45987.396736111099</v>
      </c>
      <c r="C1075" s="1">
        <v>45987.397187499999</v>
      </c>
      <c r="D1075" t="s">
        <v>19</v>
      </c>
      <c r="E1075" t="s">
        <v>23</v>
      </c>
      <c r="F1075" s="2">
        <v>9085</v>
      </c>
      <c r="G1075" s="2" t="str">
        <f>VLOOKUP(F1075,Produtos!A:B,2,FALSE)</f>
        <v>GUARANA CHP ANTARCT DIET LT350ML SHC/12</v>
      </c>
      <c r="H1075" t="s">
        <v>473</v>
      </c>
      <c r="I107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5" s="9" t="str">
        <f>VLOOKUP(Table1[[#This Row],[Área avaliada]],Endereços!A:B,2,0)</f>
        <v>Área Azul</v>
      </c>
      <c r="K1075" t="str">
        <f>VLOOKUP(Table1[[#This Row],[Nome do avaliador ]],M:N,2,0)</f>
        <v>A</v>
      </c>
    </row>
    <row r="1076" spans="1:11" x14ac:dyDescent="0.3">
      <c r="A1076">
        <v>1075</v>
      </c>
      <c r="B1076" s="1">
        <v>45987.398518518501</v>
      </c>
      <c r="C1076" s="1">
        <v>45987.3989351852</v>
      </c>
      <c r="D1076" t="s">
        <v>19</v>
      </c>
      <c r="E1076" t="s">
        <v>25</v>
      </c>
      <c r="F1076" s="2">
        <v>19310</v>
      </c>
      <c r="G1076" s="2" t="str">
        <f>VLOOKUP(F1076,Produtos!A:B,2,FALSE)</f>
        <v>ORIGINAL LATA 350ML CX CARTAO C/12 NPAL</v>
      </c>
      <c r="H1076" t="s">
        <v>473</v>
      </c>
      <c r="I107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6" s="9" t="str">
        <f>VLOOKUP(Table1[[#This Row],[Área avaliada]],Endereços!A:B,2,0)</f>
        <v>Área Azul</v>
      </c>
      <c r="K1076" t="str">
        <f>VLOOKUP(Table1[[#This Row],[Nome do avaliador ]],M:N,2,0)</f>
        <v>A</v>
      </c>
    </row>
    <row r="1077" spans="1:11" x14ac:dyDescent="0.3">
      <c r="A1077">
        <v>1076</v>
      </c>
      <c r="B1077" s="1">
        <v>45987.399780092601</v>
      </c>
      <c r="C1077" s="1">
        <v>45987.400208333303</v>
      </c>
      <c r="D1077" t="s">
        <v>19</v>
      </c>
      <c r="E1077" t="s">
        <v>23</v>
      </c>
      <c r="F1077" s="2">
        <v>9274</v>
      </c>
      <c r="G1077" s="2" t="str">
        <f>VLOOKUP(F1077,Produtos!A:B,2,FALSE)</f>
        <v>PEPSI ZERO LATA 350ML SH C/12 NPAL</v>
      </c>
      <c r="H1077" t="s">
        <v>473</v>
      </c>
      <c r="I107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7" s="9" t="str">
        <f>VLOOKUP(Table1[[#This Row],[Área avaliada]],Endereços!A:B,2,0)</f>
        <v>Área Azul</v>
      </c>
      <c r="K1077" t="str">
        <f>VLOOKUP(Table1[[#This Row],[Nome do avaliador ]],M:N,2,0)</f>
        <v>A</v>
      </c>
    </row>
    <row r="1078" spans="1:11" x14ac:dyDescent="0.3">
      <c r="A1078">
        <v>1077</v>
      </c>
      <c r="B1078" s="1">
        <v>45987.402754629598</v>
      </c>
      <c r="C1078" s="1">
        <v>45987.403483796297</v>
      </c>
      <c r="D1078" t="s">
        <v>19</v>
      </c>
      <c r="E1078" t="s">
        <v>23</v>
      </c>
      <c r="F1078" s="2">
        <v>9320</v>
      </c>
      <c r="G1078" s="2" t="str">
        <f>VLOOKUP(F1078,Produtos!A:B,2,FALSE)</f>
        <v>BRAHMA CHOPP LT 473ML SH C/12 NPAL</v>
      </c>
      <c r="H1078" t="s">
        <v>473</v>
      </c>
      <c r="I107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8" s="9" t="str">
        <f>VLOOKUP(Table1[[#This Row],[Área avaliada]],Endereços!A:B,2,0)</f>
        <v>Área Azul</v>
      </c>
      <c r="K1078" t="str">
        <f>VLOOKUP(Table1[[#This Row],[Nome do avaliador ]],M:N,2,0)</f>
        <v>A</v>
      </c>
    </row>
    <row r="1079" spans="1:11" x14ac:dyDescent="0.3">
      <c r="A1079">
        <v>1078</v>
      </c>
      <c r="B1079" s="1">
        <v>45987.403449074103</v>
      </c>
      <c r="C1079" s="1">
        <v>45987.403946759303</v>
      </c>
      <c r="D1079" t="s">
        <v>17</v>
      </c>
      <c r="E1079" t="s">
        <v>23</v>
      </c>
      <c r="F1079" s="2">
        <v>9092</v>
      </c>
      <c r="G1079" s="2" t="str">
        <f>VLOOKUP(F1079,Produtos!A:B,2,FALSE)</f>
        <v>TONICA ANTARCTICA DIET LT350MLSHC/12 PAL</v>
      </c>
      <c r="H1079" t="s">
        <v>475</v>
      </c>
      <c r="I107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9" s="9" t="str">
        <f>VLOOKUP(Table1[[#This Row],[Área avaliada]],Endereços!A:B,2,0)</f>
        <v>Área Azul</v>
      </c>
      <c r="K1079" t="s">
        <v>510</v>
      </c>
    </row>
    <row r="1080" spans="1:11" x14ac:dyDescent="0.3">
      <c r="A1080">
        <v>1079</v>
      </c>
      <c r="B1080" s="1">
        <v>45987.4069212963</v>
      </c>
      <c r="C1080" s="1">
        <v>45987.407488425903</v>
      </c>
      <c r="D1080" t="s">
        <v>19</v>
      </c>
      <c r="E1080" t="s">
        <v>20</v>
      </c>
      <c r="F1080" s="2">
        <v>9320</v>
      </c>
      <c r="G1080" s="2" t="str">
        <f>VLOOKUP(F1080,Produtos!A:B,2,FALSE)</f>
        <v>BRAHMA CHOPP LT 473ML SH C/12 NPAL</v>
      </c>
      <c r="H1080" t="s">
        <v>473</v>
      </c>
      <c r="I108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0" s="9" t="str">
        <f>VLOOKUP(Table1[[#This Row],[Área avaliada]],Endereços!A:B,2,0)</f>
        <v>Área Azul</v>
      </c>
      <c r="K1080" t="str">
        <f>VLOOKUP(Table1[[#This Row],[Nome do avaliador ]],M:N,2,0)</f>
        <v>A</v>
      </c>
    </row>
    <row r="1081" spans="1:11" x14ac:dyDescent="0.3">
      <c r="A1081">
        <v>1080</v>
      </c>
      <c r="B1081" s="1">
        <v>45987.408113425903</v>
      </c>
      <c r="C1081" s="1">
        <v>45987.4086805556</v>
      </c>
      <c r="D1081" t="s">
        <v>17</v>
      </c>
      <c r="E1081" t="s">
        <v>20</v>
      </c>
      <c r="F1081" s="2">
        <v>14135</v>
      </c>
      <c r="G1081" s="2" t="str">
        <f>VLOOKUP(F1081,Produtos!A:B,2,FALSE)</f>
        <v>BUDWEISER LT 473ML SIX-PACK SH C/2 NPAL</v>
      </c>
      <c r="H1081" t="s">
        <v>475</v>
      </c>
      <c r="I108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1" s="9" t="str">
        <f>VLOOKUP(Table1[[#This Row],[Área avaliada]],Endereços!A:B,2,0)</f>
        <v>Área Azul</v>
      </c>
      <c r="K1081" t="s">
        <v>510</v>
      </c>
    </row>
    <row r="1082" spans="1:11" x14ac:dyDescent="0.3">
      <c r="A1082">
        <v>1081</v>
      </c>
      <c r="B1082" s="1">
        <v>45989.472766203697</v>
      </c>
      <c r="C1082" s="1">
        <v>45989.473287036999</v>
      </c>
      <c r="D1082" t="s">
        <v>17</v>
      </c>
      <c r="E1082" t="s">
        <v>23</v>
      </c>
      <c r="F1082" s="2">
        <v>21658</v>
      </c>
      <c r="G1082" s="2" t="str">
        <f>VLOOKUP(F1082,Produtos!A:B,2,FALSE)</f>
        <v>SPATEN N LT SLEEK 350ML CX CART C12</v>
      </c>
      <c r="H1082" t="s">
        <v>475</v>
      </c>
      <c r="I108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2" s="9" t="str">
        <f>VLOOKUP(Table1[[#This Row],[Área avaliada]],Endereços!A:B,2,0)</f>
        <v>Área Azul</v>
      </c>
      <c r="K1082" t="s">
        <v>510</v>
      </c>
    </row>
    <row r="1083" spans="1:11" x14ac:dyDescent="0.3">
      <c r="A1083">
        <v>1082</v>
      </c>
      <c r="B1083" s="1">
        <v>45989.473530092597</v>
      </c>
      <c r="C1083" s="1">
        <v>45989.474050925899</v>
      </c>
      <c r="D1083" t="s">
        <v>17</v>
      </c>
      <c r="E1083" t="s">
        <v>23</v>
      </c>
      <c r="F1083" s="2">
        <v>9096</v>
      </c>
      <c r="G1083" s="2" t="str">
        <f>VLOOKUP(F1083,Produtos!A:B,2,FALSE)</f>
        <v>PEPSI COLA LATA 350ML SH C/12 NPAL</v>
      </c>
      <c r="H1083" t="s">
        <v>475</v>
      </c>
      <c r="I108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3" s="9" t="str">
        <f>VLOOKUP(Table1[[#This Row],[Área avaliada]],Endereços!A:B,2,0)</f>
        <v>Área Azul</v>
      </c>
      <c r="K1083" t="s">
        <v>510</v>
      </c>
    </row>
    <row r="1084" spans="1:11" x14ac:dyDescent="0.3">
      <c r="A1084">
        <v>1083</v>
      </c>
      <c r="B1084" s="1">
        <v>45989.475138888898</v>
      </c>
      <c r="C1084" s="1">
        <v>45989.475578703699</v>
      </c>
      <c r="D1084" t="s">
        <v>17</v>
      </c>
      <c r="E1084" t="s">
        <v>23</v>
      </c>
      <c r="F1084" s="2">
        <v>25837</v>
      </c>
      <c r="G1084" s="2" t="str">
        <f>VLOOKUP(F1084,Produtos!A:B,2,FALSE)</f>
        <v>SPATEN LT 473ML CX CARTAO C/12</v>
      </c>
      <c r="H1084" t="s">
        <v>475</v>
      </c>
      <c r="I108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4" s="9" t="str">
        <f>VLOOKUP(Table1[[#This Row],[Área avaliada]],Endereços!A:B,2,0)</f>
        <v>Área Azul</v>
      </c>
      <c r="K1084" t="s">
        <v>510</v>
      </c>
    </row>
    <row r="1085" spans="1:11" x14ac:dyDescent="0.3">
      <c r="A1085">
        <v>1084</v>
      </c>
      <c r="B1085" s="1">
        <v>45989.475914351897</v>
      </c>
      <c r="C1085" s="1">
        <v>45989.476388888899</v>
      </c>
      <c r="D1085" t="s">
        <v>17</v>
      </c>
      <c r="E1085" t="s">
        <v>23</v>
      </c>
      <c r="F1085" s="2">
        <v>9085</v>
      </c>
      <c r="G1085" s="2" t="str">
        <f>VLOOKUP(F1085,Produtos!A:B,2,FALSE)</f>
        <v>GUARANA CHP ANTARCT DIET LT350ML SHC/12</v>
      </c>
      <c r="H1085" t="s">
        <v>475</v>
      </c>
      <c r="I108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5" s="9" t="str">
        <f>VLOOKUP(Table1[[#This Row],[Área avaliada]],Endereços!A:B,2,0)</f>
        <v>Área Azul</v>
      </c>
      <c r="K1085" t="s">
        <v>510</v>
      </c>
    </row>
    <row r="1086" spans="1:11" x14ac:dyDescent="0.3">
      <c r="A1086">
        <v>1085</v>
      </c>
      <c r="B1086" s="1">
        <v>45989.476400462998</v>
      </c>
      <c r="C1086" s="1">
        <v>45989.476886574099</v>
      </c>
      <c r="D1086" t="s">
        <v>17</v>
      </c>
      <c r="E1086" t="s">
        <v>23</v>
      </c>
      <c r="F1086" s="2">
        <v>9085</v>
      </c>
      <c r="G1086" s="2" t="str">
        <f>VLOOKUP(F1086,Produtos!A:B,2,FALSE)</f>
        <v>GUARANA CHP ANTARCT DIET LT350ML SHC/12</v>
      </c>
      <c r="H1086" t="s">
        <v>475</v>
      </c>
      <c r="I108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6" s="9" t="str">
        <f>VLOOKUP(Table1[[#This Row],[Área avaliada]],Endereços!A:B,2,0)</f>
        <v>Área Azul</v>
      </c>
      <c r="K1086" t="s">
        <v>510</v>
      </c>
    </row>
    <row r="1087" spans="1:11" x14ac:dyDescent="0.3">
      <c r="A1087">
        <v>1086</v>
      </c>
      <c r="B1087" s="1">
        <v>45989.4897569444</v>
      </c>
      <c r="C1087" s="1">
        <v>45989.4902083333</v>
      </c>
      <c r="D1087" t="s">
        <v>17</v>
      </c>
      <c r="E1087" t="s">
        <v>23</v>
      </c>
      <c r="F1087" s="2">
        <v>33818</v>
      </c>
      <c r="G1087" s="2" t="str">
        <f>VLOOKUP(F1087,Produtos!A:B,2,FALSE)</f>
        <v>ORIGINAL LT 350ML SH C/12 NP MULTIPACK</v>
      </c>
      <c r="H1087" t="s">
        <v>475</v>
      </c>
      <c r="I108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7" s="9" t="str">
        <f>VLOOKUP(Table1[[#This Row],[Área avaliada]],Endereços!A:B,2,0)</f>
        <v>Área Azul</v>
      </c>
      <c r="K1087" t="s">
        <v>510</v>
      </c>
    </row>
    <row r="1088" spans="1:11" x14ac:dyDescent="0.3">
      <c r="A1088">
        <v>1087</v>
      </c>
      <c r="B1088" s="1">
        <v>45990.253495370402</v>
      </c>
      <c r="C1088" s="1">
        <v>45990.253958333298</v>
      </c>
      <c r="D1088" t="s">
        <v>17</v>
      </c>
      <c r="E1088" t="s">
        <v>23</v>
      </c>
      <c r="F1088" s="2">
        <v>9083</v>
      </c>
      <c r="G1088" s="2" t="str">
        <f>VLOOKUP(F1088,Produtos!A:B,2,FALSE)</f>
        <v>SKOL LT 473ML SH C/12 NPAL</v>
      </c>
      <c r="H1088" t="s">
        <v>475</v>
      </c>
      <c r="I108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8" s="9" t="str">
        <f>VLOOKUP(Table1[[#This Row],[Área avaliada]],Endereços!A:B,2,0)</f>
        <v>Área Azul</v>
      </c>
      <c r="K1088" t="s">
        <v>510</v>
      </c>
    </row>
    <row r="1089" spans="1:11" x14ac:dyDescent="0.3">
      <c r="A1089">
        <v>1088</v>
      </c>
      <c r="B1089" s="1">
        <v>45992.486458333296</v>
      </c>
      <c r="C1089" s="1">
        <v>45992.486944444398</v>
      </c>
      <c r="D1089" t="s">
        <v>17</v>
      </c>
      <c r="E1089" t="s">
        <v>23</v>
      </c>
      <c r="F1089" s="2">
        <v>20498</v>
      </c>
      <c r="G1089" s="2" t="str">
        <f>VLOOKUP(F1089,Produtos!A:B,2,FALSE)</f>
        <v>BRAHMA DUPLO MALTE LT SLEEK 350ML SH C12</v>
      </c>
      <c r="H1089" t="s">
        <v>475</v>
      </c>
      <c r="I108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89" s="9" t="str">
        <f>VLOOKUP(Table1[[#This Row],[Área avaliada]],Endereços!A:B,2,0)</f>
        <v>Área Azul</v>
      </c>
      <c r="K1089" t="s">
        <v>510</v>
      </c>
    </row>
    <row r="1090" spans="1:11" x14ac:dyDescent="0.3">
      <c r="A1090">
        <v>1089</v>
      </c>
      <c r="B1090" s="1">
        <v>45992.488194444399</v>
      </c>
      <c r="C1090" s="1">
        <v>45992.488703703697</v>
      </c>
      <c r="D1090" t="s">
        <v>17</v>
      </c>
      <c r="E1090" t="s">
        <v>25</v>
      </c>
      <c r="F1090" s="2">
        <v>9069</v>
      </c>
      <c r="G1090" s="2" t="str">
        <f>VLOOKUP(F1090,Produtos!A:B,2,FALSE)</f>
        <v>BRAHMA CHOPP LATA 350ML SH C/12 NPAL</v>
      </c>
      <c r="H1090" t="s">
        <v>476</v>
      </c>
      <c r="I109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0" s="9" t="str">
        <f>VLOOKUP(Table1[[#This Row],[Área avaliada]],Endereços!A:B,2,0)</f>
        <v>Área Azul</v>
      </c>
      <c r="K1090" t="s">
        <v>510</v>
      </c>
    </row>
    <row r="1091" spans="1:11" x14ac:dyDescent="0.3">
      <c r="A1091">
        <v>1090</v>
      </c>
      <c r="B1091" s="1">
        <v>45992.489699074104</v>
      </c>
      <c r="C1091" s="1">
        <v>45992.490138888897</v>
      </c>
      <c r="D1091" t="s">
        <v>17</v>
      </c>
      <c r="E1091" t="s">
        <v>25</v>
      </c>
      <c r="F1091" s="2">
        <v>9067</v>
      </c>
      <c r="G1091" s="2" t="str">
        <f>VLOOKUP(F1091,Produtos!A:B,2,FALSE)</f>
        <v>ANTARCTICA PILSEN LATA 350ML SH C/12 NPA</v>
      </c>
      <c r="H1091" t="s">
        <v>475</v>
      </c>
      <c r="I109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1" s="9" t="str">
        <f>VLOOKUP(Table1[[#This Row],[Área avaliada]],Endereços!A:B,2,0)</f>
        <v>Área Azul</v>
      </c>
      <c r="K1091" t="s">
        <v>510</v>
      </c>
    </row>
    <row r="1092" spans="1:11" x14ac:dyDescent="0.3">
      <c r="A1092">
        <v>1091</v>
      </c>
      <c r="B1092" s="1">
        <v>46003.549560185202</v>
      </c>
      <c r="C1092" s="1">
        <v>46003.550162036998</v>
      </c>
      <c r="D1092" t="s">
        <v>7</v>
      </c>
      <c r="E1092" t="s">
        <v>18</v>
      </c>
      <c r="G1092" t="e">
        <f>VLOOKUP(F1092,Produtos!A:B,2,FALSE)</f>
        <v>#N/A</v>
      </c>
      <c r="H1092" t="s">
        <v>484</v>
      </c>
      <c r="I109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2" s="9" t="str">
        <f>VLOOKUP(Table1[[#This Row],[Área avaliada]],Endereços!A:B,2,0)</f>
        <v>Área Vermelho</v>
      </c>
      <c r="K1092" t="str">
        <f>VLOOKUP(Table1[[#This Row],[Nome do avaliador ]],M:N,2,0)</f>
        <v>A</v>
      </c>
    </row>
    <row r="1093" spans="1:11" x14ac:dyDescent="0.3">
      <c r="A1093">
        <v>1092</v>
      </c>
      <c r="B1093" s="1">
        <v>46007.369386574101</v>
      </c>
      <c r="C1093" s="1">
        <v>46007.370185185202</v>
      </c>
      <c r="D1093" t="s">
        <v>17</v>
      </c>
      <c r="E1093" t="s">
        <v>23</v>
      </c>
      <c r="F1093" s="2">
        <v>9069</v>
      </c>
      <c r="G1093" s="5" t="str">
        <f>VLOOKUP(F1093,Produtos!A:B,2,FALSE)</f>
        <v>BRAHMA CHOPP LATA 350ML SH C/12 NPAL</v>
      </c>
      <c r="H1093" t="s">
        <v>475</v>
      </c>
      <c r="I109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3" s="9" t="str">
        <f>VLOOKUP(Table1[[#This Row],[Área avaliada]],Endereços!A:B,2,0)</f>
        <v>Área Azul</v>
      </c>
      <c r="K1093" t="s">
        <v>510</v>
      </c>
    </row>
    <row r="1094" spans="1:11" x14ac:dyDescent="0.3">
      <c r="A1094">
        <v>1093</v>
      </c>
      <c r="B1094" s="1">
        <v>46007.371134259301</v>
      </c>
      <c r="C1094" s="1">
        <v>46007.371469907397</v>
      </c>
      <c r="D1094" t="s">
        <v>17</v>
      </c>
      <c r="E1094" t="s">
        <v>23</v>
      </c>
      <c r="F1094" s="2">
        <v>21020</v>
      </c>
      <c r="G1094" s="5" t="str">
        <f>VLOOKUP(F1094,Produtos!A:B,2,FALSE)</f>
        <v>BUDWEISER LT SLEEK 350ML CX CART C12</v>
      </c>
      <c r="H1094" t="s">
        <v>475</v>
      </c>
      <c r="I109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4" s="9" t="str">
        <f>VLOOKUP(Table1[[#This Row],[Área avaliada]],Endereços!A:B,2,0)</f>
        <v>Área Azul</v>
      </c>
      <c r="K1094" t="s">
        <v>510</v>
      </c>
    </row>
    <row r="1095" spans="1:11" x14ac:dyDescent="0.3">
      <c r="A1095">
        <v>1094</v>
      </c>
      <c r="B1095" s="1">
        <v>46007.372604166703</v>
      </c>
      <c r="C1095" s="1">
        <v>46007.3729282407</v>
      </c>
      <c r="D1095" t="s">
        <v>17</v>
      </c>
      <c r="E1095" t="s">
        <v>23</v>
      </c>
      <c r="F1095" s="2">
        <v>9096</v>
      </c>
      <c r="G1095" s="5" t="str">
        <f>VLOOKUP(F1095,Produtos!A:B,2,FALSE)</f>
        <v>PEPSI COLA LATA 350ML SH C/12 NPAL</v>
      </c>
      <c r="H1095" t="s">
        <v>475</v>
      </c>
      <c r="I109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5" s="9" t="str">
        <f>VLOOKUP(Table1[[#This Row],[Área avaliada]],Endereços!A:B,2,0)</f>
        <v>Área Azul</v>
      </c>
      <c r="K1095" t="s">
        <v>510</v>
      </c>
    </row>
    <row r="1096" spans="1:11" x14ac:dyDescent="0.3">
      <c r="A1096">
        <v>1095</v>
      </c>
      <c r="B1096" s="1">
        <v>46007.373773148101</v>
      </c>
      <c r="C1096" s="1">
        <v>46007.374039351896</v>
      </c>
      <c r="D1096" t="s">
        <v>17</v>
      </c>
      <c r="E1096" t="s">
        <v>23</v>
      </c>
      <c r="F1096" s="2">
        <v>9083</v>
      </c>
      <c r="G1096" s="5" t="str">
        <f>VLOOKUP(F1096,Produtos!A:B,2,FALSE)</f>
        <v>SKOL LT 473ML SH C/12 NPAL</v>
      </c>
      <c r="H1096" t="s">
        <v>475</v>
      </c>
      <c r="I109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6" s="9" t="str">
        <f>VLOOKUP(Table1[[#This Row],[Área avaliada]],Endereços!A:B,2,0)</f>
        <v>Área Azul</v>
      </c>
      <c r="K1096" t="s">
        <v>510</v>
      </c>
    </row>
    <row r="1097" spans="1:11" x14ac:dyDescent="0.3">
      <c r="A1097">
        <v>1096</v>
      </c>
      <c r="B1097" s="1">
        <v>46007.374247685198</v>
      </c>
      <c r="C1097" s="1">
        <v>46007.374525462998</v>
      </c>
      <c r="D1097" t="s">
        <v>21</v>
      </c>
      <c r="E1097" t="s">
        <v>23</v>
      </c>
      <c r="F1097" s="2">
        <v>9274</v>
      </c>
      <c r="G1097" s="5" t="str">
        <f>VLOOKUP(F1097,Produtos!A:B,2,FALSE)</f>
        <v>PEPSI ZERO LATA 350ML SH C/12 NPAL</v>
      </c>
      <c r="H1097" t="s">
        <v>475</v>
      </c>
      <c r="I109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7" s="9" t="str">
        <f>VLOOKUP(Table1[[#This Row],[Área avaliada]],Endereços!A:B,2,0)</f>
        <v>Área Azul</v>
      </c>
      <c r="K1097" t="str">
        <f>VLOOKUP(Table1[[#This Row],[Nome do avaliador ]],M:N,2,0)</f>
        <v>B</v>
      </c>
    </row>
    <row r="1098" spans="1:11" x14ac:dyDescent="0.3">
      <c r="A1098">
        <v>1097</v>
      </c>
      <c r="B1098" s="1">
        <v>46007.3754976852</v>
      </c>
      <c r="C1098" s="1">
        <v>46007.375775462999</v>
      </c>
      <c r="D1098" t="s">
        <v>17</v>
      </c>
      <c r="E1098" t="s">
        <v>23</v>
      </c>
      <c r="F1098" s="2">
        <v>9085</v>
      </c>
      <c r="G1098" s="5" t="str">
        <f>VLOOKUP(F1098,Produtos!A:B,2,FALSE)</f>
        <v>GUARANA CHP ANTARCT DIET LT350ML SHC/12</v>
      </c>
      <c r="H1098" t="s">
        <v>475</v>
      </c>
      <c r="I109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8" s="9" t="str">
        <f>VLOOKUP(Table1[[#This Row],[Área avaliada]],Endereços!A:B,2,0)</f>
        <v>Área Azul</v>
      </c>
      <c r="K1098" t="s">
        <v>510</v>
      </c>
    </row>
    <row r="1099" spans="1:11" x14ac:dyDescent="0.3">
      <c r="A1099">
        <v>1098</v>
      </c>
      <c r="B1099" s="1">
        <v>46007.376516203702</v>
      </c>
      <c r="C1099" s="1">
        <v>46007.376793981501</v>
      </c>
      <c r="D1099" t="s">
        <v>17</v>
      </c>
      <c r="E1099" t="s">
        <v>23</v>
      </c>
      <c r="F1099" s="2">
        <v>9085</v>
      </c>
      <c r="G1099" s="5" t="str">
        <f>VLOOKUP(F1099,Produtos!A:B,2,FALSE)</f>
        <v>GUARANA CHP ANTARCT DIET LT350ML SHC/12</v>
      </c>
      <c r="H1099" t="s">
        <v>475</v>
      </c>
      <c r="I109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9" s="9" t="str">
        <f>VLOOKUP(Table1[[#This Row],[Área avaliada]],Endereços!A:B,2,0)</f>
        <v>Área Azul</v>
      </c>
      <c r="K1099" t="s">
        <v>510</v>
      </c>
    </row>
    <row r="1100" spans="1:11" x14ac:dyDescent="0.3">
      <c r="A1100">
        <v>1099</v>
      </c>
      <c r="B1100" s="1">
        <v>46007.3776967593</v>
      </c>
      <c r="C1100" s="1">
        <v>46007.378020833297</v>
      </c>
      <c r="D1100" t="s">
        <v>17</v>
      </c>
      <c r="E1100" t="s">
        <v>23</v>
      </c>
      <c r="F1100" s="2">
        <v>33818</v>
      </c>
      <c r="G1100" s="5" t="str">
        <f>VLOOKUP(F1100,Produtos!A:B,2,FALSE)</f>
        <v>ORIGINAL LT 350ML SH C/12 NP MULTIPACK</v>
      </c>
      <c r="H1100" t="s">
        <v>475</v>
      </c>
      <c r="I110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0" s="9" t="str">
        <f>VLOOKUP(Table1[[#This Row],[Área avaliada]],Endereços!A:B,2,0)</f>
        <v>Área Azul</v>
      </c>
      <c r="K1100" t="s">
        <v>510</v>
      </c>
    </row>
    <row r="1101" spans="1:11" x14ac:dyDescent="0.3">
      <c r="A1101">
        <v>1100</v>
      </c>
      <c r="B1101" s="1">
        <v>46007.381157407399</v>
      </c>
      <c r="C1101" s="1">
        <v>46007.381828703699</v>
      </c>
      <c r="D1101" t="s">
        <v>17</v>
      </c>
      <c r="E1101" t="s">
        <v>20</v>
      </c>
      <c r="F1101" s="2">
        <v>12948</v>
      </c>
      <c r="G1101" s="5" t="str">
        <f>VLOOKUP(F1101,Produtos!A:B,2,FALSE)</f>
        <v>BRAHMA CHOPP ZERO LATA 350 SH CX C12 NPA</v>
      </c>
      <c r="H1101" t="s">
        <v>475</v>
      </c>
      <c r="I110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1" s="9" t="str">
        <f>VLOOKUP(Table1[[#This Row],[Área avaliada]],Endereços!A:B,2,0)</f>
        <v>Área Azul</v>
      </c>
      <c r="K1101" t="s">
        <v>510</v>
      </c>
    </row>
    <row r="1102" spans="1:11" x14ac:dyDescent="0.3">
      <c r="A1102">
        <v>1101</v>
      </c>
      <c r="B1102" s="1">
        <v>46007.382337962998</v>
      </c>
      <c r="C1102" s="1">
        <v>46007.382870370398</v>
      </c>
      <c r="D1102" t="s">
        <v>17</v>
      </c>
      <c r="E1102" t="s">
        <v>20</v>
      </c>
      <c r="F1102" s="2">
        <v>9274</v>
      </c>
      <c r="G1102" s="5" t="str">
        <f>VLOOKUP(F1102,Produtos!A:B,2,FALSE)</f>
        <v>PEPSI ZERO LATA 350ML SH C/12 NPAL</v>
      </c>
      <c r="H1102" t="s">
        <v>475</v>
      </c>
      <c r="I110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2" s="9" t="str">
        <f>VLOOKUP(Table1[[#This Row],[Área avaliada]],Endereços!A:B,2,0)</f>
        <v>Área Azul</v>
      </c>
      <c r="K1102" t="s">
        <v>510</v>
      </c>
    </row>
    <row r="1103" spans="1:11" x14ac:dyDescent="0.3">
      <c r="A1103">
        <v>1102</v>
      </c>
      <c r="B1103" s="1">
        <v>46007.383773148104</v>
      </c>
      <c r="C1103" s="1">
        <v>46007.384097222202</v>
      </c>
      <c r="D1103" t="s">
        <v>17</v>
      </c>
      <c r="E1103" t="s">
        <v>25</v>
      </c>
      <c r="F1103" s="2">
        <v>9274</v>
      </c>
      <c r="G1103" s="5" t="str">
        <f>VLOOKUP(F1103,Produtos!A:B,2,FALSE)</f>
        <v>PEPSI ZERO LATA 350ML SH C/12 NPAL</v>
      </c>
      <c r="H1103" t="s">
        <v>475</v>
      </c>
      <c r="I110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3" s="9" t="str">
        <f>VLOOKUP(Table1[[#This Row],[Área avaliada]],Endereços!A:B,2,0)</f>
        <v>Área Azul</v>
      </c>
      <c r="K1103" t="s">
        <v>510</v>
      </c>
    </row>
    <row r="1104" spans="1:11" x14ac:dyDescent="0.3">
      <c r="A1104">
        <v>1103</v>
      </c>
      <c r="B1104" s="1">
        <v>46007.3841203704</v>
      </c>
      <c r="C1104" s="1">
        <v>46007.384421296301</v>
      </c>
      <c r="D1104" t="s">
        <v>17</v>
      </c>
      <c r="E1104" t="s">
        <v>20</v>
      </c>
      <c r="F1104" s="2">
        <v>9274</v>
      </c>
      <c r="G1104" s="5" t="str">
        <f>VLOOKUP(F1104,Produtos!A:B,2,FALSE)</f>
        <v>PEPSI ZERO LATA 350ML SH C/12 NPAL</v>
      </c>
      <c r="H1104" t="s">
        <v>475</v>
      </c>
      <c r="I110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4" s="9" t="str">
        <f>VLOOKUP(Table1[[#This Row],[Área avaliada]],Endereços!A:B,2,0)</f>
        <v>Área Azul</v>
      </c>
      <c r="K1104" t="s">
        <v>510</v>
      </c>
    </row>
    <row r="1105" spans="1:11" x14ac:dyDescent="0.3">
      <c r="A1105">
        <v>1104</v>
      </c>
      <c r="B1105" s="1">
        <v>46007.385023148097</v>
      </c>
      <c r="C1105" s="1">
        <v>46007.385405092602</v>
      </c>
      <c r="D1105" t="s">
        <v>17</v>
      </c>
      <c r="E1105" t="s">
        <v>20</v>
      </c>
      <c r="F1105" s="2">
        <v>2349</v>
      </c>
      <c r="G1105" s="5" t="str">
        <f>VLOOKUP(F1105,Produtos!A:B,2,FALSE)</f>
        <v>GUARANA CHP ANTARCTICA PET 2L CAIXA C/6</v>
      </c>
      <c r="H1105" t="s">
        <v>475</v>
      </c>
      <c r="I110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5" s="9" t="str">
        <f>VLOOKUP(Table1[[#This Row],[Área avaliada]],Endereços!A:B,2,0)</f>
        <v>Área Azul</v>
      </c>
      <c r="K1105" t="s">
        <v>510</v>
      </c>
    </row>
    <row r="1106" spans="1:11" x14ac:dyDescent="0.3">
      <c r="A1106">
        <v>1105</v>
      </c>
      <c r="B1106" s="1">
        <v>46007.386018518497</v>
      </c>
      <c r="C1106" s="1">
        <v>46007.386307870402</v>
      </c>
      <c r="D1106" t="s">
        <v>17</v>
      </c>
      <c r="E1106" t="s">
        <v>20</v>
      </c>
      <c r="F1106" s="2">
        <v>2353</v>
      </c>
      <c r="G1106" s="5" t="str">
        <f>VLOOKUP(F1106,Produtos!A:B,2,FALSE)</f>
        <v>GUARANA CHP ANTARCTICA DIET PET 2L CXC/6</v>
      </c>
      <c r="H1106" t="s">
        <v>475</v>
      </c>
      <c r="I110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6" s="9" t="str">
        <f>VLOOKUP(Table1[[#This Row],[Área avaliada]],Endereços!A:B,2,0)</f>
        <v>Área Azul</v>
      </c>
      <c r="K1106" t="s">
        <v>510</v>
      </c>
    </row>
    <row r="1107" spans="1:11" x14ac:dyDescent="0.3">
      <c r="A1107">
        <v>1106</v>
      </c>
      <c r="B1107" s="1">
        <v>46008.634710648097</v>
      </c>
      <c r="C1107" s="1">
        <v>46008.635416666701</v>
      </c>
      <c r="D1107" t="s">
        <v>38</v>
      </c>
      <c r="E1107" t="s">
        <v>12</v>
      </c>
      <c r="F1107">
        <v>6911</v>
      </c>
      <c r="G1107" t="str">
        <f>VLOOKUP(F1107,Produtos!A:B,2,FALSE)</f>
        <v>AGUA M F DA ILHA S/G COPO 200ML CAIXA C/</v>
      </c>
      <c r="H1107" t="s">
        <v>474</v>
      </c>
      <c r="I110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7" s="9" t="str">
        <f>VLOOKUP(Table1[[#This Row],[Área avaliada]],Endereços!A:B,2,0)</f>
        <v>Área Verde</v>
      </c>
      <c r="K1107" t="str">
        <f>VLOOKUP(Table1[[#This Row],[Nome do avaliador ]],M:N,2,0)</f>
        <v>B</v>
      </c>
    </row>
    <row r="1108" spans="1:11" x14ac:dyDescent="0.3">
      <c r="A1108">
        <v>1107</v>
      </c>
      <c r="B1108" s="1">
        <v>46008.636006944398</v>
      </c>
      <c r="C1108" s="1">
        <v>46008.636516203696</v>
      </c>
      <c r="D1108" t="s">
        <v>38</v>
      </c>
      <c r="E1108" t="s">
        <v>12</v>
      </c>
      <c r="F1108">
        <v>7977</v>
      </c>
      <c r="G1108" t="str">
        <f>VLOOKUP(F1108,Produtos!A:B,2,FALSE)</f>
        <v>GATORADE UVA PET 500ML SIX PACK</v>
      </c>
      <c r="H1108" t="s">
        <v>474</v>
      </c>
      <c r="I110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8" s="9" t="str">
        <f>VLOOKUP(Table1[[#This Row],[Área avaliada]],Endereços!A:B,2,0)</f>
        <v>Área Verde</v>
      </c>
      <c r="K1108" t="str">
        <f>VLOOKUP(Table1[[#This Row],[Nome do avaliador ]],M:N,2,0)</f>
        <v>B</v>
      </c>
    </row>
    <row r="1109" spans="1:11" x14ac:dyDescent="0.3">
      <c r="A1109">
        <v>1108</v>
      </c>
      <c r="B1109" s="1">
        <v>46008.636018518497</v>
      </c>
      <c r="C1109" s="1">
        <v>46008.636527777802</v>
      </c>
      <c r="D1109" t="s">
        <v>38</v>
      </c>
      <c r="E1109" t="s">
        <v>12</v>
      </c>
      <c r="F1109">
        <v>7977</v>
      </c>
      <c r="G1109" t="str">
        <f>VLOOKUP(F1109,Produtos!A:B,2,FALSE)</f>
        <v>GATORADE UVA PET 500ML SIX PACK</v>
      </c>
      <c r="H1109" t="s">
        <v>474</v>
      </c>
      <c r="I110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9" s="9" t="str">
        <f>VLOOKUP(Table1[[#This Row],[Área avaliada]],Endereços!A:B,2,0)</f>
        <v>Área Verde</v>
      </c>
      <c r="K1109" t="str">
        <f>VLOOKUP(Table1[[#This Row],[Nome do avaliador ]],M:N,2,0)</f>
        <v>B</v>
      </c>
    </row>
    <row r="1110" spans="1:11" x14ac:dyDescent="0.3">
      <c r="A1110">
        <v>1109</v>
      </c>
      <c r="B1110" s="1">
        <v>46008.636990740699</v>
      </c>
      <c r="C1110" s="1">
        <v>46008.637847222199</v>
      </c>
      <c r="D1110" t="s">
        <v>38</v>
      </c>
      <c r="E1110" t="s">
        <v>25</v>
      </c>
      <c r="F1110">
        <v>504</v>
      </c>
      <c r="G1110" t="str">
        <f>VLOOKUP(F1110,Produtos!A:B,2,FALSE)</f>
        <v>PEPSI COLA PET 2L CAIXA C/6</v>
      </c>
      <c r="H1110" t="s">
        <v>474</v>
      </c>
      <c r="I111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0" s="9" t="str">
        <f>VLOOKUP(Table1[[#This Row],[Área avaliada]],Endereços!A:B,2,0)</f>
        <v>Área Azul</v>
      </c>
      <c r="K1110" t="str">
        <f>VLOOKUP(Table1[[#This Row],[Nome do avaliador ]],M:N,2,0)</f>
        <v>B</v>
      </c>
    </row>
    <row r="1111" spans="1:11" x14ac:dyDescent="0.3">
      <c r="A1111">
        <v>1110</v>
      </c>
      <c r="B1111" s="1">
        <v>46008.6378819444</v>
      </c>
      <c r="C1111" s="1">
        <v>46008.638414351903</v>
      </c>
      <c r="D1111" t="s">
        <v>38</v>
      </c>
      <c r="E1111" t="s">
        <v>25</v>
      </c>
      <c r="F1111">
        <v>504</v>
      </c>
      <c r="G1111" t="str">
        <f>VLOOKUP(F1111,Produtos!A:B,2,FALSE)</f>
        <v>PEPSI COLA PET 2L CAIXA C/6</v>
      </c>
      <c r="H1111" t="s">
        <v>474</v>
      </c>
      <c r="I111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1" s="9" t="str">
        <f>VLOOKUP(Table1[[#This Row],[Área avaliada]],Endereços!A:B,2,0)</f>
        <v>Área Azul</v>
      </c>
      <c r="K1111" t="str">
        <f>VLOOKUP(Table1[[#This Row],[Nome do avaliador ]],M:N,2,0)</f>
        <v>B</v>
      </c>
    </row>
    <row r="1112" spans="1:11" x14ac:dyDescent="0.3">
      <c r="A1112">
        <v>1111</v>
      </c>
      <c r="B1112" s="1">
        <v>46008.638449074097</v>
      </c>
      <c r="C1112" s="1">
        <v>46008.638888888898</v>
      </c>
      <c r="D1112" t="s">
        <v>38</v>
      </c>
      <c r="E1112" t="s">
        <v>25</v>
      </c>
      <c r="F1112">
        <v>504</v>
      </c>
      <c r="G1112" t="str">
        <f>VLOOKUP(F1112,Produtos!A:B,2,FALSE)</f>
        <v>PEPSI COLA PET 2L CAIXA C/6</v>
      </c>
      <c r="H1112" t="s">
        <v>474</v>
      </c>
      <c r="I111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2" s="9" t="str">
        <f>VLOOKUP(Table1[[#This Row],[Área avaliada]],Endereços!A:B,2,0)</f>
        <v>Área Azul</v>
      </c>
      <c r="K1112" t="str">
        <f>VLOOKUP(Table1[[#This Row],[Nome do avaliador ]],M:N,2,0)</f>
        <v>B</v>
      </c>
    </row>
    <row r="1113" spans="1:11" x14ac:dyDescent="0.3">
      <c r="A1113">
        <v>1112</v>
      </c>
      <c r="B1113" s="1">
        <v>46008.639826388899</v>
      </c>
      <c r="C1113" s="1">
        <v>46008.640462962998</v>
      </c>
      <c r="D1113" t="s">
        <v>38</v>
      </c>
      <c r="E1113" t="s">
        <v>25</v>
      </c>
      <c r="F1113">
        <v>2349</v>
      </c>
      <c r="G1113" t="str">
        <f>VLOOKUP(F1113,Produtos!A:B,2,FALSE)</f>
        <v>GUARANA CHP ANTARCTICA PET 2L CAIXA C/6</v>
      </c>
      <c r="H1113" t="s">
        <v>474</v>
      </c>
      <c r="I111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3" s="9" t="str">
        <f>VLOOKUP(Table1[[#This Row],[Área avaliada]],Endereços!A:B,2,0)</f>
        <v>Área Azul</v>
      </c>
      <c r="K1113" t="str">
        <f>VLOOKUP(Table1[[#This Row],[Nome do avaliador ]],M:N,2,0)</f>
        <v>B</v>
      </c>
    </row>
    <row r="1114" spans="1:11" x14ac:dyDescent="0.3">
      <c r="A1114">
        <v>1113</v>
      </c>
      <c r="B1114" s="1">
        <v>46008.642141203702</v>
      </c>
      <c r="C1114" s="1">
        <v>46008.642638888901</v>
      </c>
      <c r="D1114" t="s">
        <v>38</v>
      </c>
      <c r="E1114" t="s">
        <v>25</v>
      </c>
      <c r="F1114">
        <v>2353</v>
      </c>
      <c r="G1114" t="str">
        <f>VLOOKUP(F1114,Produtos!A:B,2,FALSE)</f>
        <v>GUARANA CHP ANTARCTICA DIET PET 2L CXC/6</v>
      </c>
      <c r="H1114" t="s">
        <v>474</v>
      </c>
      <c r="I111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4" s="9" t="str">
        <f>VLOOKUP(Table1[[#This Row],[Área avaliada]],Endereços!A:B,2,0)</f>
        <v>Área Azul</v>
      </c>
      <c r="K1114" t="str">
        <f>VLOOKUP(Table1[[#This Row],[Nome do avaliador ]],M:N,2,0)</f>
        <v>B</v>
      </c>
    </row>
    <row r="1115" spans="1:11" x14ac:dyDescent="0.3">
      <c r="A1115">
        <v>1114</v>
      </c>
      <c r="B1115" s="1">
        <v>46008.644120370402</v>
      </c>
      <c r="C1115" s="1">
        <v>46008.644710648099</v>
      </c>
      <c r="D1115" t="s">
        <v>38</v>
      </c>
      <c r="E1115" t="s">
        <v>23</v>
      </c>
      <c r="F1115">
        <v>17797</v>
      </c>
      <c r="G1115" t="str">
        <f>VLOOKUP(F1115,Produtos!A:B,2,FALSE)</f>
        <v>BRAHMA CHOPP LATA 350ML SH 18 MULTIPACK</v>
      </c>
      <c r="H1115" t="s">
        <v>473</v>
      </c>
      <c r="I111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5" s="9" t="str">
        <f>VLOOKUP(Table1[[#This Row],[Área avaliada]],Endereços!A:B,2,0)</f>
        <v>Área Azul</v>
      </c>
      <c r="K1115" t="str">
        <f>VLOOKUP(Table1[[#This Row],[Nome do avaliador ]],M:N,2,0)</f>
        <v>B</v>
      </c>
    </row>
    <row r="1116" spans="1:11" x14ac:dyDescent="0.3">
      <c r="A1116">
        <v>1115</v>
      </c>
      <c r="B1116" s="1">
        <v>46008.645115740699</v>
      </c>
      <c r="C1116" s="1">
        <v>46008.645624999997</v>
      </c>
      <c r="D1116" t="s">
        <v>38</v>
      </c>
      <c r="E1116" t="s">
        <v>25</v>
      </c>
      <c r="F1116">
        <v>9276</v>
      </c>
      <c r="G1116" t="str">
        <f>VLOOKUP(F1116,Produtos!A:B,2,FALSE)</f>
        <v>PEPSI ZERO PET 2L CX C/6</v>
      </c>
      <c r="H1116" t="s">
        <v>474</v>
      </c>
      <c r="I111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6" s="9" t="str">
        <f>VLOOKUP(Table1[[#This Row],[Área avaliada]],Endereços!A:B,2,0)</f>
        <v>Área Azul</v>
      </c>
      <c r="K1116" t="str">
        <f>VLOOKUP(Table1[[#This Row],[Nome do avaliador ]],M:N,2,0)</f>
        <v>B</v>
      </c>
    </row>
    <row r="1117" spans="1:11" x14ac:dyDescent="0.3">
      <c r="A1117">
        <v>1116</v>
      </c>
      <c r="B1117" s="1">
        <v>46008.645706018498</v>
      </c>
      <c r="C1117" s="1">
        <v>46008.6461921296</v>
      </c>
      <c r="D1117" t="s">
        <v>38</v>
      </c>
      <c r="E1117" t="s">
        <v>25</v>
      </c>
      <c r="F1117">
        <v>9276</v>
      </c>
      <c r="G1117" t="str">
        <f>VLOOKUP(F1117,Produtos!A:B,2,FALSE)</f>
        <v>PEPSI ZERO PET 2L CX C/6</v>
      </c>
      <c r="H1117" t="s">
        <v>474</v>
      </c>
      <c r="I111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7" s="9" t="str">
        <f>VLOOKUP(Table1[[#This Row],[Área avaliada]],Endereços!A:B,2,0)</f>
        <v>Área Azul</v>
      </c>
      <c r="K1117" t="str">
        <f>VLOOKUP(Table1[[#This Row],[Nome do avaliador ]],M:N,2,0)</f>
        <v>B</v>
      </c>
    </row>
    <row r="1118" spans="1:11" x14ac:dyDescent="0.3">
      <c r="A1118">
        <v>1117</v>
      </c>
      <c r="B1118" s="1">
        <v>46008.648310185199</v>
      </c>
      <c r="C1118" s="1">
        <v>46008.648738425902</v>
      </c>
      <c r="D1118" t="s">
        <v>38</v>
      </c>
      <c r="E1118" t="s">
        <v>23</v>
      </c>
      <c r="F1118">
        <v>12948</v>
      </c>
      <c r="G1118" t="str">
        <f>VLOOKUP(F1118,Produtos!A:B,2,FALSE)</f>
        <v>BRAHMA CHOPP ZERO LATA 350 SH CX C12 NPA</v>
      </c>
      <c r="H1118" t="s">
        <v>473</v>
      </c>
      <c r="I111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8" s="9" t="str">
        <f>VLOOKUP(Table1[[#This Row],[Área avaliada]],Endereços!A:B,2,0)</f>
        <v>Área Azul</v>
      </c>
      <c r="K1118" t="str">
        <f>VLOOKUP(Table1[[#This Row],[Nome do avaliador ]],M:N,2,0)</f>
        <v>B</v>
      </c>
    </row>
    <row r="1119" spans="1:11" x14ac:dyDescent="0.3">
      <c r="A1119">
        <v>1118</v>
      </c>
      <c r="B1119" s="1">
        <v>46008.650381944397</v>
      </c>
      <c r="C1119" s="1">
        <v>46008.650787036997</v>
      </c>
      <c r="D1119" t="s">
        <v>38</v>
      </c>
      <c r="E1119" t="s">
        <v>25</v>
      </c>
      <c r="F1119">
        <v>18341</v>
      </c>
      <c r="G1119" t="str">
        <f>VLOOKUP(F1119,Produtos!A:B,2,FALSE)</f>
        <v>PEPSI COLA PET 3000 ML C/04 SH LISO.</v>
      </c>
      <c r="H1119" t="s">
        <v>474</v>
      </c>
      <c r="I111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9" s="9" t="str">
        <f>VLOOKUP(Table1[[#This Row],[Área avaliada]],Endereços!A:B,2,0)</f>
        <v>Área Azul</v>
      </c>
      <c r="K1119" t="str">
        <f>VLOOKUP(Table1[[#This Row],[Nome do avaliador ]],M:N,2,0)</f>
        <v>B</v>
      </c>
    </row>
    <row r="1120" spans="1:11" x14ac:dyDescent="0.3">
      <c r="A1120">
        <v>1119</v>
      </c>
      <c r="B1120" s="1">
        <v>46008.651828703703</v>
      </c>
      <c r="C1120" s="1">
        <v>46008.652395833298</v>
      </c>
      <c r="D1120" t="s">
        <v>38</v>
      </c>
      <c r="E1120" t="s">
        <v>25</v>
      </c>
      <c r="F1120">
        <v>23269</v>
      </c>
      <c r="G1120" t="str">
        <f>VLOOKUP(F1120,Produtos!A:B,2,FALSE)</f>
        <v>SKOL BEATS GT LN 269ML SIX-PACK SH C/4</v>
      </c>
      <c r="H1120" t="s">
        <v>487</v>
      </c>
      <c r="I112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0" s="9" t="str">
        <f>VLOOKUP(Table1[[#This Row],[Área avaliada]],Endereços!A:B,2,0)</f>
        <v>Área Azul</v>
      </c>
      <c r="K1120" t="str">
        <f>VLOOKUP(Table1[[#This Row],[Nome do avaliador ]],M:N,2,0)</f>
        <v>B</v>
      </c>
    </row>
    <row r="1121" spans="1:11" x14ac:dyDescent="0.3">
      <c r="A1121">
        <v>1120</v>
      </c>
      <c r="B1121" s="1">
        <v>46008.653657407398</v>
      </c>
      <c r="C1121" s="1">
        <v>46008.654201388897</v>
      </c>
      <c r="D1121" t="s">
        <v>38</v>
      </c>
      <c r="E1121" t="s">
        <v>25</v>
      </c>
      <c r="F1121">
        <v>18341</v>
      </c>
      <c r="G1121" t="str">
        <f>VLOOKUP(F1121,Produtos!A:B,2,FALSE)</f>
        <v>PEPSI COLA PET 3000 ML C/04 SH LISO.</v>
      </c>
      <c r="H1121" t="s">
        <v>487</v>
      </c>
      <c r="I112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1" s="9" t="str">
        <f>VLOOKUP(Table1[[#This Row],[Área avaliada]],Endereços!A:B,2,0)</f>
        <v>Área Azul</v>
      </c>
      <c r="K1121" t="str">
        <f>VLOOKUP(Table1[[#This Row],[Nome do avaliador ]],M:N,2,0)</f>
        <v>B</v>
      </c>
    </row>
    <row r="1122" spans="1:11" x14ac:dyDescent="0.3">
      <c r="A1122">
        <v>1121</v>
      </c>
      <c r="B1122" s="1">
        <v>46008.655231481498</v>
      </c>
      <c r="C1122" s="1">
        <v>46008.655590277798</v>
      </c>
      <c r="D1122" t="s">
        <v>38</v>
      </c>
      <c r="E1122" t="s">
        <v>25</v>
      </c>
      <c r="F1122">
        <v>11556</v>
      </c>
      <c r="G1122" t="e">
        <f>VLOOKUP(F1122,Produtos!A:B,2,FALSE)</f>
        <v>#N/A</v>
      </c>
      <c r="H1122" t="s">
        <v>474</v>
      </c>
      <c r="I112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2" s="9" t="str">
        <f>VLOOKUP(Table1[[#This Row],[Área avaliada]],Endereços!A:B,2,0)</f>
        <v>Área Azul</v>
      </c>
      <c r="K1122" t="str">
        <f>VLOOKUP(Table1[[#This Row],[Nome do avaliador ]],M:N,2,0)</f>
        <v>B</v>
      </c>
    </row>
    <row r="1123" spans="1:11" x14ac:dyDescent="0.3">
      <c r="A1123">
        <v>1122</v>
      </c>
      <c r="B1123" s="1">
        <v>46010.4163078704</v>
      </c>
      <c r="C1123" s="1">
        <v>46010.416643518503</v>
      </c>
      <c r="D1123" t="s">
        <v>17</v>
      </c>
      <c r="E1123" t="s">
        <v>23</v>
      </c>
      <c r="F1123">
        <v>9071</v>
      </c>
      <c r="G1123" t="str">
        <f>VLOOKUP(F1123,Produtos!A:B,2,FALSE)</f>
        <v>CARACU LATA 350ML SH C/12 NPAL</v>
      </c>
      <c r="H1123" t="s">
        <v>475</v>
      </c>
      <c r="I112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3" s="9" t="str">
        <f>VLOOKUP(Table1[[#This Row],[Área avaliada]],Endereços!A:B,2,0)</f>
        <v>Área Azul</v>
      </c>
      <c r="K1123" t="s">
        <v>510</v>
      </c>
    </row>
    <row r="1124" spans="1:11" x14ac:dyDescent="0.3">
      <c r="A1124">
        <v>1123</v>
      </c>
      <c r="B1124" s="1">
        <v>46010.418310185203</v>
      </c>
      <c r="C1124" s="1">
        <v>46010.418587963002</v>
      </c>
      <c r="D1124" t="s">
        <v>17</v>
      </c>
      <c r="E1124" t="s">
        <v>23</v>
      </c>
      <c r="F1124">
        <v>9096</v>
      </c>
      <c r="G1124" t="str">
        <f>VLOOKUP(F1124,Produtos!A:B,2,FALSE)</f>
        <v>PEPSI COLA LATA 350ML SH C/12 NPAL</v>
      </c>
      <c r="H1124" t="s">
        <v>475</v>
      </c>
      <c r="I112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4" s="9" t="str">
        <f>VLOOKUP(Table1[[#This Row],[Área avaliada]],Endereços!A:B,2,0)</f>
        <v>Área Azul</v>
      </c>
      <c r="K1124" t="s">
        <v>510</v>
      </c>
    </row>
    <row r="1125" spans="1:11" x14ac:dyDescent="0.3">
      <c r="A1125">
        <v>1124</v>
      </c>
      <c r="B1125" s="1">
        <v>46010.419224537</v>
      </c>
      <c r="C1125" s="1">
        <v>46010.419675925899</v>
      </c>
      <c r="D1125" t="s">
        <v>17</v>
      </c>
      <c r="E1125" t="s">
        <v>23</v>
      </c>
      <c r="F1125">
        <v>20651</v>
      </c>
      <c r="G1125" t="str">
        <f>VLOOKUP(F1125,Produtos!A:B,2,FALSE)</f>
        <v>CORONA N LT SLEEK 350ML CX 8</v>
      </c>
      <c r="H1125" t="s">
        <v>475</v>
      </c>
      <c r="I112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5" s="9" t="str">
        <f>VLOOKUP(Table1[[#This Row],[Área avaliada]],Endereços!A:B,2,0)</f>
        <v>Área Azul</v>
      </c>
      <c r="K1125" t="s">
        <v>510</v>
      </c>
    </row>
    <row r="1126" spans="1:11" x14ac:dyDescent="0.3">
      <c r="A1126">
        <v>1125</v>
      </c>
      <c r="B1126" s="1">
        <v>46013.424907407403</v>
      </c>
      <c r="C1126" s="1">
        <v>46013.425625000003</v>
      </c>
      <c r="D1126" t="s">
        <v>7</v>
      </c>
      <c r="E1126" t="s">
        <v>32</v>
      </c>
      <c r="G1126" t="e">
        <f>VLOOKUP(F1126,Produtos!A:B,2,FALSE)</f>
        <v>#N/A</v>
      </c>
      <c r="H1126" t="s">
        <v>492</v>
      </c>
      <c r="I112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6" s="9" t="str">
        <f>VLOOKUP(Table1[[#This Row],[Área avaliada]],Endereços!A:B,2,0)</f>
        <v>Área Vermelho</v>
      </c>
      <c r="K1126" t="str">
        <f>VLOOKUP(Table1[[#This Row],[Nome do avaliador ]],M:N,2,0)</f>
        <v>A</v>
      </c>
    </row>
    <row r="1127" spans="1:11" x14ac:dyDescent="0.3">
      <c r="A1127">
        <v>1126</v>
      </c>
      <c r="B1127" s="1">
        <v>46024.458356481497</v>
      </c>
      <c r="C1127" s="1">
        <v>46024.459328703699</v>
      </c>
      <c r="D1127" t="s">
        <v>38</v>
      </c>
      <c r="E1127" t="s">
        <v>23</v>
      </c>
      <c r="F1127">
        <v>32969</v>
      </c>
      <c r="G1127" t="str">
        <f>VLOOKUP(F1127,Produtos!A:B,2,FALSE)</f>
        <v>RED BULL S MOR E PESSEGO LT 250ML FOUR P</v>
      </c>
      <c r="H1127" t="s">
        <v>493</v>
      </c>
      <c r="I112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27" s="9" t="str">
        <f>VLOOKUP(Table1[[#This Row],[Área avaliada]],Endereços!A:B,2,0)</f>
        <v>Área Azul</v>
      </c>
      <c r="K1127" t="str">
        <f>VLOOKUP(Table1[[#This Row],[Nome do avaliador ]],M:N,2,0)</f>
        <v>B</v>
      </c>
    </row>
    <row r="1128" spans="1:11" x14ac:dyDescent="0.3">
      <c r="A1128">
        <v>1127</v>
      </c>
      <c r="B1128" s="1">
        <v>46024.470115740703</v>
      </c>
      <c r="C1128" s="1">
        <v>46024.470694444397</v>
      </c>
      <c r="D1128" t="s">
        <v>38</v>
      </c>
      <c r="E1128" t="s">
        <v>25</v>
      </c>
      <c r="F1128">
        <v>7979</v>
      </c>
      <c r="G1128" t="str">
        <f>VLOOKUP(F1128,Produtos!A:B,2,FALSE)</f>
        <v>GATORADE FRUTAS CITR PET 500ML SIX PACK</v>
      </c>
      <c r="H1128" t="s">
        <v>474</v>
      </c>
      <c r="I112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28" s="9" t="str">
        <f>VLOOKUP(Table1[[#This Row],[Área avaliada]],Endereços!A:B,2,0)</f>
        <v>Área Azul</v>
      </c>
      <c r="K1128" t="str">
        <f>VLOOKUP(Table1[[#This Row],[Nome do avaliador ]],M:N,2,0)</f>
        <v>B</v>
      </c>
    </row>
    <row r="1129" spans="1:11" x14ac:dyDescent="0.3">
      <c r="A1129">
        <v>1128</v>
      </c>
      <c r="B1129" s="1">
        <v>46024.470752314803</v>
      </c>
      <c r="C1129" s="1">
        <v>46024.471192129597</v>
      </c>
      <c r="D1129" t="s">
        <v>38</v>
      </c>
      <c r="E1129" t="s">
        <v>25</v>
      </c>
      <c r="F1129">
        <v>504</v>
      </c>
      <c r="G1129" t="str">
        <f>VLOOKUP(F1129,Produtos!A:B,2,FALSE)</f>
        <v>PEPSI COLA PET 2L CAIXA C/6</v>
      </c>
      <c r="H1129" t="s">
        <v>474</v>
      </c>
      <c r="I112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29" s="9" t="str">
        <f>VLOOKUP(Table1[[#This Row],[Área avaliada]],Endereços!A:B,2,0)</f>
        <v>Área Azul</v>
      </c>
      <c r="K1129" t="str">
        <f>VLOOKUP(Table1[[#This Row],[Nome do avaliador ]],M:N,2,0)</f>
        <v>B</v>
      </c>
    </row>
    <row r="1130" spans="1:11" x14ac:dyDescent="0.3">
      <c r="A1130">
        <v>1129</v>
      </c>
      <c r="B1130" s="1">
        <v>46024.471215277801</v>
      </c>
      <c r="C1130" s="1">
        <v>46024.471574074101</v>
      </c>
      <c r="D1130" t="s">
        <v>38</v>
      </c>
      <c r="E1130" t="s">
        <v>25</v>
      </c>
      <c r="F1130">
        <v>504</v>
      </c>
      <c r="G1130" t="str">
        <f>VLOOKUP(F1130,Produtos!A:B,2,FALSE)</f>
        <v>PEPSI COLA PET 2L CAIXA C/6</v>
      </c>
      <c r="H1130" t="s">
        <v>474</v>
      </c>
      <c r="I113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0" s="9" t="str">
        <f>VLOOKUP(Table1[[#This Row],[Área avaliada]],Endereços!A:B,2,0)</f>
        <v>Área Azul</v>
      </c>
      <c r="K1130" t="str">
        <f>VLOOKUP(Table1[[#This Row],[Nome do avaliador ]],M:N,2,0)</f>
        <v>B</v>
      </c>
    </row>
    <row r="1131" spans="1:11" x14ac:dyDescent="0.3">
      <c r="A1131">
        <v>1130</v>
      </c>
      <c r="B1131" s="1">
        <v>46024.471631944398</v>
      </c>
      <c r="C1131" s="1">
        <v>46024.471967592603</v>
      </c>
      <c r="D1131" t="s">
        <v>38</v>
      </c>
      <c r="E1131" t="s">
        <v>23</v>
      </c>
      <c r="F1131">
        <v>9069</v>
      </c>
      <c r="G1131" t="str">
        <f>VLOOKUP(F1131,Produtos!A:B,2,FALSE)</f>
        <v>BRAHMA CHOPP LATA 350ML SH C/12 NPAL</v>
      </c>
      <c r="H1131" t="s">
        <v>474</v>
      </c>
      <c r="I113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1" s="9" t="str">
        <f>VLOOKUP(Table1[[#This Row],[Área avaliada]],Endereços!A:B,2,0)</f>
        <v>Área Azul</v>
      </c>
      <c r="K1131" t="str">
        <f>VLOOKUP(Table1[[#This Row],[Nome do avaliador ]],M:N,2,0)</f>
        <v>B</v>
      </c>
    </row>
    <row r="1132" spans="1:11" x14ac:dyDescent="0.3">
      <c r="A1132">
        <v>1131</v>
      </c>
      <c r="B1132" s="1">
        <v>46024.471990740698</v>
      </c>
      <c r="C1132" s="1">
        <v>46024.472395833298</v>
      </c>
      <c r="D1132" t="s">
        <v>38</v>
      </c>
      <c r="E1132" t="s">
        <v>25</v>
      </c>
      <c r="F1132">
        <v>7983</v>
      </c>
      <c r="G1132" t="str">
        <f>VLOOKUP(F1132,Produtos!A:B,2,FALSE)</f>
        <v>GATORADE MORANGO MARACUJA PET500ML SIXPA</v>
      </c>
      <c r="H1132" t="s">
        <v>474</v>
      </c>
      <c r="I113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2" s="9" t="str">
        <f>VLOOKUP(Table1[[#This Row],[Área avaliada]],Endereços!A:B,2,0)</f>
        <v>Área Azul</v>
      </c>
      <c r="K1132" t="str">
        <f>VLOOKUP(Table1[[#This Row],[Nome do avaliador ]],M:N,2,0)</f>
        <v>B</v>
      </c>
    </row>
    <row r="1133" spans="1:11" x14ac:dyDescent="0.3">
      <c r="A1133">
        <v>1132</v>
      </c>
      <c r="B1133" s="1">
        <v>46024.472407407397</v>
      </c>
      <c r="C1133" s="1">
        <v>46024.473113425898</v>
      </c>
      <c r="D1133" t="s">
        <v>38</v>
      </c>
      <c r="E1133" t="s">
        <v>25</v>
      </c>
      <c r="F1133">
        <v>18341</v>
      </c>
      <c r="G1133" t="str">
        <f>VLOOKUP(F1133,Produtos!A:B,2,FALSE)</f>
        <v>PEPSI COLA PET 3000 ML C/04 SH LISO.</v>
      </c>
      <c r="H1133" t="s">
        <v>487</v>
      </c>
      <c r="I113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3" s="9" t="str">
        <f>VLOOKUP(Table1[[#This Row],[Área avaliada]],Endereços!A:B,2,0)</f>
        <v>Área Azul</v>
      </c>
      <c r="K1133" t="str">
        <f>VLOOKUP(Table1[[#This Row],[Nome do avaliador ]],M:N,2,0)</f>
        <v>B</v>
      </c>
    </row>
    <row r="1134" spans="1:11" x14ac:dyDescent="0.3">
      <c r="A1134">
        <v>1133</v>
      </c>
      <c r="B1134" s="1">
        <v>46024.473124999997</v>
      </c>
      <c r="C1134" s="1">
        <v>46024.473645833299</v>
      </c>
      <c r="D1134" t="s">
        <v>38</v>
      </c>
      <c r="E1134" t="s">
        <v>25</v>
      </c>
      <c r="F1134">
        <v>503</v>
      </c>
      <c r="G1134" t="str">
        <f>VLOOKUP(F1134,Produtos!A:B,2,FALSE)</f>
        <v>SUKITA PET 2L CAIXA C/6</v>
      </c>
      <c r="H1134" t="s">
        <v>474</v>
      </c>
      <c r="I113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4" s="9" t="str">
        <f>VLOOKUP(Table1[[#This Row],[Área avaliada]],Endereços!A:B,2,0)</f>
        <v>Área Azul</v>
      </c>
      <c r="K1134" t="str">
        <f>VLOOKUP(Table1[[#This Row],[Nome do avaliador ]],M:N,2,0)</f>
        <v>B</v>
      </c>
    </row>
    <row r="1135" spans="1:11" x14ac:dyDescent="0.3">
      <c r="A1135">
        <v>1134</v>
      </c>
      <c r="B1135" s="1">
        <v>46024.473692129599</v>
      </c>
      <c r="C1135" s="1">
        <v>46024.4741319444</v>
      </c>
      <c r="D1135" t="s">
        <v>38</v>
      </c>
      <c r="E1135" t="s">
        <v>25</v>
      </c>
      <c r="F1135">
        <v>2350</v>
      </c>
      <c r="G1135" t="str">
        <f>VLOOKUP(F1135,Produtos!A:B,2,FALSE)</f>
        <v>SODA LIMONADA ANTARCTICA PET 2L CX C/6</v>
      </c>
      <c r="H1135" t="s">
        <v>474</v>
      </c>
      <c r="I113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5" s="9" t="str">
        <f>VLOOKUP(Table1[[#This Row],[Área avaliada]],Endereços!A:B,2,0)</f>
        <v>Área Azul</v>
      </c>
      <c r="K1135" t="str">
        <f>VLOOKUP(Table1[[#This Row],[Nome do avaliador ]],M:N,2,0)</f>
        <v>B</v>
      </c>
    </row>
    <row r="1136" spans="1:11" x14ac:dyDescent="0.3">
      <c r="A1136">
        <v>1135</v>
      </c>
      <c r="B1136" s="1">
        <v>46024.474189814799</v>
      </c>
      <c r="C1136" s="1">
        <v>46024.474618055603</v>
      </c>
      <c r="D1136" t="s">
        <v>38</v>
      </c>
      <c r="E1136" t="s">
        <v>25</v>
      </c>
      <c r="F1136">
        <v>2350</v>
      </c>
      <c r="G1136" t="str">
        <f>VLOOKUP(F1136,Produtos!A:B,2,FALSE)</f>
        <v>SODA LIMONADA ANTARCTICA PET 2L CX C/6</v>
      </c>
      <c r="H1136" t="s">
        <v>474</v>
      </c>
      <c r="I113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6" s="9" t="str">
        <f>VLOOKUP(Table1[[#This Row],[Área avaliada]],Endereços!A:B,2,0)</f>
        <v>Área Azul</v>
      </c>
      <c r="K1136" t="str">
        <f>VLOOKUP(Table1[[#This Row],[Nome do avaliador ]],M:N,2,0)</f>
        <v>B</v>
      </c>
    </row>
    <row r="1137" spans="1:11" x14ac:dyDescent="0.3">
      <c r="A1137">
        <v>1136</v>
      </c>
      <c r="B1137" s="1">
        <v>46025.264166666697</v>
      </c>
      <c r="C1137" s="1">
        <v>46025.264629629601</v>
      </c>
      <c r="D1137" t="s">
        <v>17</v>
      </c>
      <c r="E1137" t="s">
        <v>20</v>
      </c>
      <c r="F1137">
        <v>9089</v>
      </c>
      <c r="G1137" t="str">
        <f>VLOOKUP(F1137,Produtos!A:B,2,FALSE)</f>
        <v>SUKITA LATA 350ML SH C/12 NPAL</v>
      </c>
      <c r="H1137" t="s">
        <v>475</v>
      </c>
      <c r="I113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7" s="9" t="str">
        <f>VLOOKUP(Table1[[#This Row],[Área avaliada]],Endereços!A:B,2,0)</f>
        <v>Área Azul</v>
      </c>
      <c r="K1137" t="s">
        <v>510</v>
      </c>
    </row>
    <row r="1138" spans="1:11" x14ac:dyDescent="0.3">
      <c r="A1138">
        <v>1137</v>
      </c>
      <c r="B1138" s="1">
        <v>46025.268831018497</v>
      </c>
      <c r="C1138" s="1">
        <v>46025.269293981502</v>
      </c>
      <c r="D1138" t="s">
        <v>17</v>
      </c>
      <c r="E1138" t="s">
        <v>20</v>
      </c>
      <c r="F1138">
        <v>9069</v>
      </c>
      <c r="G1138" t="str">
        <f>VLOOKUP(F1138,Produtos!A:B,2,FALSE)</f>
        <v>BRAHMA CHOPP LATA 350ML SH C/12 NPAL</v>
      </c>
      <c r="H1138" t="s">
        <v>475</v>
      </c>
      <c r="I113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8" s="9" t="str">
        <f>VLOOKUP(Table1[[#This Row],[Área avaliada]],Endereços!A:B,2,0)</f>
        <v>Área Azul</v>
      </c>
      <c r="K1138" t="s">
        <v>510</v>
      </c>
    </row>
    <row r="1139" spans="1:11" x14ac:dyDescent="0.3">
      <c r="A1139">
        <v>1138</v>
      </c>
      <c r="B1139" s="1">
        <v>46025.269930555602</v>
      </c>
      <c r="C1139" s="1">
        <v>46025.270231481503</v>
      </c>
      <c r="D1139" t="s">
        <v>17</v>
      </c>
      <c r="E1139" t="s">
        <v>25</v>
      </c>
      <c r="F1139">
        <v>9067</v>
      </c>
      <c r="G1139" t="str">
        <f>VLOOKUP(F1139,Produtos!A:B,2,FALSE)</f>
        <v>ANTARCTICA PILSEN LATA 350ML SH C/12 NPA</v>
      </c>
      <c r="H1139" t="s">
        <v>475</v>
      </c>
      <c r="I113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9" s="9" t="str">
        <f>VLOOKUP(Table1[[#This Row],[Área avaliada]],Endereços!A:B,2,0)</f>
        <v>Área Azul</v>
      </c>
      <c r="K1139" t="s">
        <v>510</v>
      </c>
    </row>
    <row r="1140" spans="1:11" x14ac:dyDescent="0.3">
      <c r="A1140">
        <v>1139</v>
      </c>
      <c r="B1140" s="1">
        <v>46025.272233796299</v>
      </c>
      <c r="C1140" s="1">
        <v>46025.272604166697</v>
      </c>
      <c r="D1140" t="s">
        <v>17</v>
      </c>
      <c r="E1140" t="s">
        <v>23</v>
      </c>
      <c r="F1140">
        <v>13566</v>
      </c>
      <c r="G1140" t="str">
        <f>VLOOKUP(F1140,Produtos!A:B,2,FALSE)</f>
        <v>SKOL BEATS SENSES LATA 269ML CX C/8 FRID</v>
      </c>
      <c r="H1140" t="s">
        <v>475</v>
      </c>
      <c r="I114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0" s="9" t="str">
        <f>VLOOKUP(Table1[[#This Row],[Área avaliada]],Endereços!A:B,2,0)</f>
        <v>Área Azul</v>
      </c>
      <c r="K1140" t="s">
        <v>510</v>
      </c>
    </row>
    <row r="1141" spans="1:11" x14ac:dyDescent="0.3">
      <c r="A1141">
        <v>1140</v>
      </c>
      <c r="B1141" s="1">
        <v>46025.272685185198</v>
      </c>
      <c r="C1141" s="1">
        <v>46025.2729861111</v>
      </c>
      <c r="D1141" t="s">
        <v>17</v>
      </c>
      <c r="E1141" t="s">
        <v>23</v>
      </c>
      <c r="F1141">
        <v>13566</v>
      </c>
      <c r="G1141" t="str">
        <f>VLOOKUP(F1141,Produtos!A:B,2,FALSE)</f>
        <v>SKOL BEATS SENSES LATA 269ML CX C/8 FRID</v>
      </c>
      <c r="H1141" t="s">
        <v>475</v>
      </c>
      <c r="I114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1" s="9" t="str">
        <f>VLOOKUP(Table1[[#This Row],[Área avaliada]],Endereços!A:B,2,0)</f>
        <v>Área Azul</v>
      </c>
      <c r="K1141" t="s">
        <v>510</v>
      </c>
    </row>
    <row r="1142" spans="1:11" x14ac:dyDescent="0.3">
      <c r="A1142">
        <v>1141</v>
      </c>
      <c r="B1142" s="1">
        <v>46025.2742476852</v>
      </c>
      <c r="C1142" s="1">
        <v>46025.274583333303</v>
      </c>
      <c r="D1142" t="s">
        <v>17</v>
      </c>
      <c r="E1142" t="s">
        <v>23</v>
      </c>
      <c r="F1142">
        <v>13839</v>
      </c>
      <c r="G1142" t="str">
        <f>VLOOKUP(F1142,Produtos!A:B,2,FALSE)</f>
        <v>BUDWEISER LATA 269ML CX C/8 FRIDGE PACK</v>
      </c>
      <c r="H1142" t="s">
        <v>475</v>
      </c>
      <c r="I114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2" s="9" t="str">
        <f>VLOOKUP(Table1[[#This Row],[Área avaliada]],Endereços!A:B,2,0)</f>
        <v>Área Azul</v>
      </c>
      <c r="K1142" t="s">
        <v>510</v>
      </c>
    </row>
    <row r="1143" spans="1:11" x14ac:dyDescent="0.3">
      <c r="A1143">
        <v>1142</v>
      </c>
      <c r="B1143" s="1">
        <v>46025.275243055599</v>
      </c>
      <c r="C1143" s="1">
        <v>46025.275613425903</v>
      </c>
      <c r="D1143" t="s">
        <v>17</v>
      </c>
      <c r="E1143" t="s">
        <v>23</v>
      </c>
      <c r="F1143">
        <v>21119</v>
      </c>
      <c r="G1143" t="str">
        <f>VLOOKUP(F1143,Produtos!A:B,2,FALSE)</f>
        <v>SKOL BEATS GT LT 269ML CX CAR C/8</v>
      </c>
      <c r="H1143" t="s">
        <v>475</v>
      </c>
      <c r="I114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3" s="9" t="str">
        <f>VLOOKUP(Table1[[#This Row],[Área avaliada]],Endereços!A:B,2,0)</f>
        <v>Área Azul</v>
      </c>
      <c r="K1143" t="s">
        <v>510</v>
      </c>
    </row>
    <row r="1144" spans="1:11" x14ac:dyDescent="0.3">
      <c r="A1144">
        <v>1143</v>
      </c>
      <c r="B1144" s="1">
        <v>46025.277280092603</v>
      </c>
      <c r="C1144" s="1">
        <v>46025.277592592603</v>
      </c>
      <c r="D1144" t="s">
        <v>17</v>
      </c>
      <c r="E1144" t="s">
        <v>23</v>
      </c>
      <c r="F1144">
        <v>11191</v>
      </c>
      <c r="G1144" t="str">
        <f>VLOOKUP(F1144,Produtos!A:B,2,FALSE)</f>
        <v>LIPTON PESSEGO PET 1,5 SHRINK C/6 HF</v>
      </c>
      <c r="H1144" t="s">
        <v>475</v>
      </c>
      <c r="I114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4" s="9" t="str">
        <f>VLOOKUP(Table1[[#This Row],[Área avaliada]],Endereços!A:B,2,0)</f>
        <v>Área Azul</v>
      </c>
      <c r="K1144" t="s">
        <v>510</v>
      </c>
    </row>
    <row r="1145" spans="1:11" x14ac:dyDescent="0.3">
      <c r="A1145">
        <v>1144</v>
      </c>
      <c r="B1145" s="1">
        <v>46025.278159722198</v>
      </c>
      <c r="C1145" s="1">
        <v>46025.278483796297</v>
      </c>
      <c r="D1145" t="s">
        <v>17</v>
      </c>
      <c r="E1145" t="s">
        <v>23</v>
      </c>
      <c r="F1145">
        <v>21658</v>
      </c>
      <c r="G1145" t="str">
        <f>VLOOKUP(F1145,Produtos!A:B,2,FALSE)</f>
        <v>SPATEN N LT SLEEK 350ML CX CART C12</v>
      </c>
      <c r="H1145" t="s">
        <v>475</v>
      </c>
      <c r="I114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5" s="9" t="str">
        <f>VLOOKUP(Table1[[#This Row],[Área avaliada]],Endereços!A:B,2,0)</f>
        <v>Área Azul</v>
      </c>
      <c r="K1145" t="s">
        <v>510</v>
      </c>
    </row>
    <row r="1146" spans="1:11" x14ac:dyDescent="0.3">
      <c r="A1146">
        <v>1145</v>
      </c>
      <c r="B1146" s="1">
        <v>46027.356018518498</v>
      </c>
      <c r="C1146" s="1">
        <v>46027.356377314798</v>
      </c>
      <c r="D1146" t="s">
        <v>17</v>
      </c>
      <c r="E1146" t="s">
        <v>23</v>
      </c>
      <c r="F1146">
        <v>22180</v>
      </c>
      <c r="G1146" t="str">
        <f>VLOOKUP(F1146,Produtos!A:B,2,FALSE)</f>
        <v>BUDWEISER ZERO LN 330ML SIX-PACK SH C/4</v>
      </c>
      <c r="H1146" t="s">
        <v>475</v>
      </c>
      <c r="I114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6" s="9" t="str">
        <f>VLOOKUP(Table1[[#This Row],[Área avaliada]],Endereços!A:B,2,0)</f>
        <v>Área Azul</v>
      </c>
      <c r="K1146" t="s">
        <v>510</v>
      </c>
    </row>
    <row r="1147" spans="1:11" x14ac:dyDescent="0.3">
      <c r="A1147">
        <v>1146</v>
      </c>
      <c r="B1147" s="1">
        <v>46031.728344907402</v>
      </c>
      <c r="C1147" s="1">
        <v>46031.730208333298</v>
      </c>
      <c r="D1147" t="s">
        <v>22</v>
      </c>
      <c r="E1147" t="s">
        <v>33</v>
      </c>
      <c r="F1147" s="2">
        <v>14340</v>
      </c>
      <c r="G1147" t="str">
        <f>VLOOKUP(F1147,Produtos!A:B,2,FALSE)</f>
        <v>ORIGINAL ONE WAY 300ML CX PAPELAO C/12</v>
      </c>
      <c r="H1147" t="s">
        <v>482</v>
      </c>
      <c r="I114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7" s="9" t="str">
        <f>VLOOKUP(Table1[[#This Row],[Área avaliada]],Endereços!A:B,2,0)</f>
        <v>Área Verde</v>
      </c>
      <c r="K1147" t="str">
        <f>VLOOKUP(Table1[[#This Row],[Nome do avaliador ]],M:N,2,0)</f>
        <v>B</v>
      </c>
    </row>
    <row r="1148" spans="1:11" x14ac:dyDescent="0.3">
      <c r="A1148">
        <v>1147</v>
      </c>
      <c r="B1148" s="1">
        <v>46031.730254629598</v>
      </c>
      <c r="C1148" s="1">
        <v>46031.731400463003</v>
      </c>
      <c r="D1148" t="s">
        <v>22</v>
      </c>
      <c r="E1148" t="s">
        <v>23</v>
      </c>
      <c r="F1148" s="2">
        <v>21119</v>
      </c>
      <c r="G1148" t="str">
        <f>VLOOKUP(F1148,Produtos!A:B,2,FALSE)</f>
        <v>SKOL BEATS GT LT 269ML CX CAR C/8</v>
      </c>
      <c r="H1148" t="s">
        <v>473</v>
      </c>
      <c r="I114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8" s="9" t="str">
        <f>VLOOKUP(Table1[[#This Row],[Área avaliada]],Endereços!A:B,2,0)</f>
        <v>Área Azul</v>
      </c>
      <c r="K1148" t="str">
        <f>VLOOKUP(Table1[[#This Row],[Nome do avaliador ]],M:N,2,0)</f>
        <v>B</v>
      </c>
    </row>
    <row r="1149" spans="1:11" x14ac:dyDescent="0.3">
      <c r="A1149">
        <v>1148</v>
      </c>
      <c r="B1149" s="1">
        <v>46031.737743055601</v>
      </c>
      <c r="C1149" s="1">
        <v>46031.738738425898</v>
      </c>
      <c r="D1149" t="s">
        <v>22</v>
      </c>
      <c r="E1149" t="s">
        <v>23</v>
      </c>
      <c r="F1149" s="2">
        <v>20651</v>
      </c>
      <c r="G1149" t="str">
        <f>VLOOKUP(F1149,Produtos!A:B,2,FALSE)</f>
        <v>CORONA N LT SLEEK 350ML CX 8</v>
      </c>
      <c r="H1149" t="s">
        <v>474</v>
      </c>
      <c r="I114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9" s="9" t="str">
        <f>VLOOKUP(Table1[[#This Row],[Área avaliada]],Endereços!A:B,2,0)</f>
        <v>Área Azul</v>
      </c>
      <c r="K1149" t="str">
        <f>VLOOKUP(Table1[[#This Row],[Nome do avaliador ]],M:N,2,0)</f>
        <v>B</v>
      </c>
    </row>
    <row r="1150" spans="1:11" x14ac:dyDescent="0.3">
      <c r="A1150">
        <v>1149</v>
      </c>
      <c r="B1150" s="1">
        <v>46031.738761574103</v>
      </c>
      <c r="C1150" s="1">
        <v>46031.739560185197</v>
      </c>
      <c r="D1150" t="s">
        <v>22</v>
      </c>
      <c r="E1150" t="s">
        <v>23</v>
      </c>
      <c r="F1150" s="2">
        <v>20651</v>
      </c>
      <c r="G1150" t="str">
        <f>VLOOKUP(F1150,Produtos!A:B,2,FALSE)</f>
        <v>CORONA N LT SLEEK 350ML CX 8</v>
      </c>
      <c r="H1150" t="s">
        <v>482</v>
      </c>
      <c r="I115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0" s="9" t="str">
        <f>VLOOKUP(Table1[[#This Row],[Área avaliada]],Endereços!A:B,2,0)</f>
        <v>Área Azul</v>
      </c>
      <c r="K1150" t="str">
        <f>VLOOKUP(Table1[[#This Row],[Nome do avaliador ]],M:N,2,0)</f>
        <v>B</v>
      </c>
    </row>
    <row r="1151" spans="1:11" x14ac:dyDescent="0.3">
      <c r="A1151">
        <v>1150</v>
      </c>
      <c r="B1151" s="1">
        <v>46032.347916666702</v>
      </c>
      <c r="C1151" s="1">
        <v>46032.349004629599</v>
      </c>
      <c r="D1151" t="s">
        <v>7</v>
      </c>
      <c r="E1151" t="s">
        <v>23</v>
      </c>
      <c r="F1151" s="2">
        <v>18341</v>
      </c>
      <c r="G1151" t="str">
        <f>VLOOKUP(F1151,Produtos!A:B,2,FALSE)</f>
        <v>PEPSI COLA PET 3000 ML C/04 SH LISO.</v>
      </c>
      <c r="H1151" t="s">
        <v>489</v>
      </c>
      <c r="I115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1" s="9" t="str">
        <f>VLOOKUP(Table1[[#This Row],[Área avaliada]],Endereços!A:B,2,0)</f>
        <v>Área Azul</v>
      </c>
      <c r="K1151" t="str">
        <f>VLOOKUP(Table1[[#This Row],[Nome do avaliador ]],M:N,2,0)</f>
        <v>A</v>
      </c>
    </row>
    <row r="1152" spans="1:11" x14ac:dyDescent="0.3">
      <c r="A1152">
        <v>1151</v>
      </c>
      <c r="B1152" s="1">
        <v>46031.739641203698</v>
      </c>
      <c r="C1152" s="1">
        <v>46032.462696759299</v>
      </c>
      <c r="D1152" t="s">
        <v>22</v>
      </c>
      <c r="E1152" t="s">
        <v>23</v>
      </c>
      <c r="F1152" s="2">
        <v>17797</v>
      </c>
      <c r="G1152" t="str">
        <f>VLOOKUP(F1152,Produtos!A:B,2,FALSE)</f>
        <v>BRAHMA CHOPP LATA 350ML SH 18 MULTIPACK</v>
      </c>
      <c r="H1152" t="s">
        <v>473</v>
      </c>
      <c r="I115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2" s="9" t="str">
        <f>VLOOKUP(Table1[[#This Row],[Área avaliada]],Endereços!A:B,2,0)</f>
        <v>Área Azul</v>
      </c>
      <c r="K1152" t="str">
        <f>VLOOKUP(Table1[[#This Row],[Nome do avaliador ]],M:N,2,0)</f>
        <v>B</v>
      </c>
    </row>
    <row r="1153" spans="1:11" x14ac:dyDescent="0.3">
      <c r="A1153">
        <v>1152</v>
      </c>
      <c r="B1153" s="1">
        <v>46032.4628240741</v>
      </c>
      <c r="C1153" s="1">
        <v>46032.463900463001</v>
      </c>
      <c r="D1153" t="s">
        <v>22</v>
      </c>
      <c r="E1153" t="s">
        <v>23</v>
      </c>
      <c r="F1153" s="2">
        <v>21658</v>
      </c>
      <c r="G1153" t="str">
        <f>VLOOKUP(F1153,Produtos!A:B,2,FALSE)</f>
        <v>SPATEN N LT SLEEK 350ML CX CART C12</v>
      </c>
      <c r="H1153" t="s">
        <v>482</v>
      </c>
      <c r="I115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3" s="9" t="str">
        <f>VLOOKUP(Table1[[#This Row],[Área avaliada]],Endereços!A:B,2,0)</f>
        <v>Área Azul</v>
      </c>
      <c r="K1153" t="str">
        <f>VLOOKUP(Table1[[#This Row],[Nome do avaliador ]],M:N,2,0)</f>
        <v>B</v>
      </c>
    </row>
    <row r="1154" spans="1:11" x14ac:dyDescent="0.3">
      <c r="A1154">
        <v>1153</v>
      </c>
      <c r="B1154" s="1">
        <v>46032.463969907403</v>
      </c>
      <c r="C1154" s="1">
        <v>46032.464988425898</v>
      </c>
      <c r="D1154" t="s">
        <v>22</v>
      </c>
      <c r="E1154" t="s">
        <v>33</v>
      </c>
      <c r="F1154" s="2">
        <v>21668</v>
      </c>
      <c r="G1154" t="str">
        <f>VLOOKUP(F1154,Produtos!A:B,2,FALSE)</f>
        <v>SPATEN N ONE WAY 600ML CX C/12 NP ARTE</v>
      </c>
      <c r="H1154" t="s">
        <v>485</v>
      </c>
      <c r="I115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4" s="9" t="str">
        <f>VLOOKUP(Table1[[#This Row],[Área avaliada]],Endereços!A:B,2,0)</f>
        <v>Área Verde</v>
      </c>
      <c r="K1154" t="str">
        <f>VLOOKUP(Table1[[#This Row],[Nome do avaliador ]],M:N,2,0)</f>
        <v>B</v>
      </c>
    </row>
    <row r="1155" spans="1:11" x14ac:dyDescent="0.3">
      <c r="A1155">
        <v>1154</v>
      </c>
      <c r="B1155" s="1">
        <v>46032.463981481502</v>
      </c>
      <c r="C1155" s="1">
        <v>46032.464999999997</v>
      </c>
      <c r="D1155" t="s">
        <v>22</v>
      </c>
      <c r="E1155" t="s">
        <v>33</v>
      </c>
      <c r="F1155" s="2">
        <v>21668</v>
      </c>
      <c r="G1155" t="str">
        <f>VLOOKUP(F1155,Produtos!A:B,2,FALSE)</f>
        <v>SPATEN N ONE WAY 600ML CX C/12 NP ARTE</v>
      </c>
      <c r="H1155" t="s">
        <v>485</v>
      </c>
      <c r="I115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5" s="9" t="str">
        <f>VLOOKUP(Table1[[#This Row],[Área avaliada]],Endereços!A:B,2,0)</f>
        <v>Área Verde</v>
      </c>
      <c r="K1155" t="str">
        <f>VLOOKUP(Table1[[#This Row],[Nome do avaliador ]],M:N,2,0)</f>
        <v>B</v>
      </c>
    </row>
    <row r="1156" spans="1:11" x14ac:dyDescent="0.3">
      <c r="A1156">
        <v>1155</v>
      </c>
      <c r="B1156" s="1">
        <v>46034.769270833298</v>
      </c>
      <c r="C1156" s="1">
        <v>46034.7739814815</v>
      </c>
      <c r="D1156" t="s">
        <v>35</v>
      </c>
      <c r="E1156" t="s">
        <v>12</v>
      </c>
      <c r="F1156">
        <v>29042</v>
      </c>
      <c r="G1156" t="str">
        <f>VLOOKUP(F1156,Produtos!A:B,2,FALSE)</f>
        <v>YPE TIXAN LAVA ROUPAS PRIMAVEA CAIXA800G</v>
      </c>
      <c r="H1156" t="s">
        <v>499</v>
      </c>
      <c r="I115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6" s="9" t="str">
        <f>VLOOKUP(Table1[[#This Row],[Área avaliada]],Endereços!A:B,2,0)</f>
        <v>Área Verde</v>
      </c>
      <c r="K1156" t="str">
        <f>VLOOKUP(Table1[[#This Row],[Nome do avaliador ]],M:N,2,0)</f>
        <v>B</v>
      </c>
    </row>
    <row r="1157" spans="1:11" x14ac:dyDescent="0.3">
      <c r="A1157">
        <v>1156</v>
      </c>
      <c r="B1157" s="1">
        <v>46034.787372685198</v>
      </c>
      <c r="C1157" s="1">
        <v>46034.793287036999</v>
      </c>
      <c r="D1157" t="s">
        <v>31</v>
      </c>
      <c r="E1157" t="s">
        <v>15</v>
      </c>
      <c r="F1157">
        <v>9069</v>
      </c>
      <c r="G1157" t="str">
        <f>VLOOKUP(F1157,Produtos!A:B,2,FALSE)</f>
        <v>BRAHMA CHOPP LATA 350ML SH C/12 NPAL</v>
      </c>
      <c r="H1157" t="s">
        <v>499</v>
      </c>
      <c r="I115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7" s="9" t="str">
        <f>VLOOKUP(Table1[[#This Row],[Área avaliada]],Endereços!A:B,2,0)</f>
        <v>Picking Alto Giro</v>
      </c>
      <c r="K1157" t="str">
        <f>VLOOKUP(Table1[[#This Row],[Nome do avaliador ]],M:N,2,0)</f>
        <v>B</v>
      </c>
    </row>
    <row r="1158" spans="1:11" x14ac:dyDescent="0.3">
      <c r="A1158">
        <v>1157</v>
      </c>
      <c r="B1158" s="1">
        <v>46036.355648148099</v>
      </c>
      <c r="C1158" s="1">
        <v>46036.355937499997</v>
      </c>
      <c r="D1158" t="s">
        <v>17</v>
      </c>
      <c r="E1158" t="s">
        <v>23</v>
      </c>
      <c r="F1158">
        <v>9085</v>
      </c>
      <c r="G1158" t="str">
        <f>VLOOKUP(F1158,Produtos!A:B,2,FALSE)</f>
        <v>GUARANA CHP ANTARCT DIET LT350ML SHC/12</v>
      </c>
      <c r="H1158" t="s">
        <v>499</v>
      </c>
      <c r="I115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8" s="9" t="str">
        <f>VLOOKUP(Table1[[#This Row],[Área avaliada]],Endereços!A:B,2,0)</f>
        <v>Área Azul</v>
      </c>
      <c r="K1158" t="s">
        <v>510</v>
      </c>
    </row>
    <row r="1159" spans="1:11" x14ac:dyDescent="0.3">
      <c r="A1159">
        <v>1158</v>
      </c>
      <c r="B1159" s="1">
        <v>46036.356180555602</v>
      </c>
      <c r="C1159" s="1">
        <v>46036.356469907398</v>
      </c>
      <c r="D1159" t="s">
        <v>17</v>
      </c>
      <c r="E1159" t="s">
        <v>23</v>
      </c>
      <c r="F1159">
        <v>18341</v>
      </c>
      <c r="G1159" t="str">
        <f>VLOOKUP(F1159,Produtos!A:B,2,FALSE)</f>
        <v>PEPSI COLA PET 3000 ML C/04 SH LISO.</v>
      </c>
      <c r="H1159" t="s">
        <v>499</v>
      </c>
      <c r="I115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9" s="9" t="str">
        <f>VLOOKUP(Table1[[#This Row],[Área avaliada]],Endereços!A:B,2,0)</f>
        <v>Área Azul</v>
      </c>
      <c r="K1159" t="s">
        <v>510</v>
      </c>
    </row>
    <row r="1160" spans="1:11" x14ac:dyDescent="0.3">
      <c r="A1160">
        <v>1159</v>
      </c>
      <c r="B1160" s="1">
        <v>46036.357939814799</v>
      </c>
      <c r="C1160" s="1">
        <v>46036.3582523148</v>
      </c>
      <c r="D1160" t="s">
        <v>17</v>
      </c>
      <c r="E1160" t="s">
        <v>23</v>
      </c>
      <c r="F1160">
        <v>1745</v>
      </c>
      <c r="G1160" t="str">
        <f>VLOOKUP(F1160,Produtos!A:B,2,FALSE)</f>
        <v>SKOL LT 269ML SH C/15 NPAL</v>
      </c>
      <c r="H1160" t="s">
        <v>499</v>
      </c>
      <c r="I116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0" s="9" t="str">
        <f>VLOOKUP(Table1[[#This Row],[Área avaliada]],Endereços!A:B,2,0)</f>
        <v>Área Azul</v>
      </c>
      <c r="K1160" t="s">
        <v>510</v>
      </c>
    </row>
    <row r="1161" spans="1:11" x14ac:dyDescent="0.3">
      <c r="A1161">
        <v>1160</v>
      </c>
      <c r="B1161" s="1">
        <v>46036.358379629601</v>
      </c>
      <c r="C1161" s="1">
        <v>46036.358692129601</v>
      </c>
      <c r="D1161" t="s">
        <v>17</v>
      </c>
      <c r="E1161" t="s">
        <v>23</v>
      </c>
      <c r="F1161">
        <v>20498</v>
      </c>
      <c r="G1161" t="str">
        <f>VLOOKUP(F1161,Produtos!A:B,2,FALSE)</f>
        <v>BRAHMA DUPLO MALTE LT SLEEK 350ML SH C12</v>
      </c>
      <c r="H1161" t="s">
        <v>499</v>
      </c>
      <c r="I116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1" s="9" t="str">
        <f>VLOOKUP(Table1[[#This Row],[Área avaliada]],Endereços!A:B,2,0)</f>
        <v>Área Azul</v>
      </c>
      <c r="K1161" t="s">
        <v>510</v>
      </c>
    </row>
    <row r="1162" spans="1:11" x14ac:dyDescent="0.3">
      <c r="A1162">
        <v>1161</v>
      </c>
      <c r="B1162" s="1">
        <v>46036.359722222202</v>
      </c>
      <c r="C1162" s="1">
        <v>46036.360023148103</v>
      </c>
      <c r="D1162" t="s">
        <v>17</v>
      </c>
      <c r="E1162" t="s">
        <v>23</v>
      </c>
      <c r="F1162">
        <v>20498</v>
      </c>
      <c r="G1162" t="str">
        <f>VLOOKUP(F1162,Produtos!A:B,2,FALSE)</f>
        <v>BRAHMA DUPLO MALTE LT SLEEK 350ML SH C12</v>
      </c>
      <c r="H1162" t="s">
        <v>499</v>
      </c>
      <c r="I116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2" s="9" t="str">
        <f>VLOOKUP(Table1[[#This Row],[Área avaliada]],Endereços!A:B,2,0)</f>
        <v>Área Azul</v>
      </c>
      <c r="K1162" t="s">
        <v>510</v>
      </c>
    </row>
    <row r="1163" spans="1:11" x14ac:dyDescent="0.3">
      <c r="A1163">
        <v>1162</v>
      </c>
      <c r="B1163" s="1">
        <v>46036.360208333303</v>
      </c>
      <c r="C1163" s="1">
        <v>46036.3605439815</v>
      </c>
      <c r="D1163" t="s">
        <v>17</v>
      </c>
      <c r="E1163" t="s">
        <v>25</v>
      </c>
      <c r="F1163">
        <v>9093</v>
      </c>
      <c r="G1163" t="str">
        <f>VLOOKUP(F1163,Produtos!A:B,2,FALSE)</f>
        <v>PEPSI TWIST LATA 350ML SH C/12 NPAL</v>
      </c>
      <c r="H1163" t="s">
        <v>488</v>
      </c>
      <c r="I116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3" s="9" t="str">
        <f>VLOOKUP(Table1[[#This Row],[Área avaliada]],Endereços!A:B,2,0)</f>
        <v>Área Azul</v>
      </c>
      <c r="K1163" t="s">
        <v>510</v>
      </c>
    </row>
    <row r="1164" spans="1:11" x14ac:dyDescent="0.3">
      <c r="A1164">
        <v>1163</v>
      </c>
      <c r="B1164" s="1">
        <v>46036.362129629597</v>
      </c>
      <c r="C1164" s="1">
        <v>46036.362476851798</v>
      </c>
      <c r="D1164" t="s">
        <v>17</v>
      </c>
      <c r="E1164" t="s">
        <v>23</v>
      </c>
      <c r="F1164">
        <v>9085</v>
      </c>
      <c r="G1164" t="str">
        <f>VLOOKUP(F1164,Produtos!A:B,2,FALSE)</f>
        <v>GUARANA CHP ANTARCT DIET LT350ML SHC/12</v>
      </c>
      <c r="H1164" t="s">
        <v>476</v>
      </c>
      <c r="I116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4" s="9" t="str">
        <f>VLOOKUP(Table1[[#This Row],[Área avaliada]],Endereços!A:B,2,0)</f>
        <v>Área Azul</v>
      </c>
      <c r="K1164" t="s">
        <v>510</v>
      </c>
    </row>
    <row r="1165" spans="1:11" x14ac:dyDescent="0.3">
      <c r="A1165">
        <v>1164</v>
      </c>
      <c r="B1165" s="1">
        <v>46036.367789351803</v>
      </c>
      <c r="C1165" s="1">
        <v>46036.368125000001</v>
      </c>
      <c r="D1165" t="s">
        <v>17</v>
      </c>
      <c r="E1165" t="s">
        <v>33</v>
      </c>
      <c r="F1165">
        <v>9067</v>
      </c>
      <c r="G1165" t="str">
        <f>VLOOKUP(F1165,Produtos!A:B,2,FALSE)</f>
        <v>ANTARCTICA PILSEN LATA 350ML SH C/12 NPA</v>
      </c>
      <c r="H1165" t="s">
        <v>499</v>
      </c>
      <c r="I116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5" s="9" t="str">
        <f>VLOOKUP(Table1[[#This Row],[Área avaliada]],Endereços!A:B,2,0)</f>
        <v>Área Verde</v>
      </c>
      <c r="K1165" t="s">
        <v>510</v>
      </c>
    </row>
    <row r="1166" spans="1:11" x14ac:dyDescent="0.3">
      <c r="A1166">
        <v>1165</v>
      </c>
      <c r="B1166" s="1">
        <v>46036.368935185201</v>
      </c>
      <c r="C1166" s="1">
        <v>46036.369247685201</v>
      </c>
      <c r="D1166" t="s">
        <v>17</v>
      </c>
      <c r="E1166" t="s">
        <v>33</v>
      </c>
      <c r="F1166">
        <v>19225</v>
      </c>
      <c r="G1166" t="str">
        <f>VLOOKUP(F1166,Produtos!A:B,2,FALSE)</f>
        <v>RED BULL BR LATA 250ML CAIXA C/24</v>
      </c>
      <c r="H1166" t="s">
        <v>499</v>
      </c>
      <c r="I116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6" s="9" t="str">
        <f>VLOOKUP(Table1[[#This Row],[Área avaliada]],Endereços!A:B,2,0)</f>
        <v>Área Verde</v>
      </c>
      <c r="K1166" t="s">
        <v>510</v>
      </c>
    </row>
    <row r="1167" spans="1:11" x14ac:dyDescent="0.3">
      <c r="A1167">
        <v>1166</v>
      </c>
      <c r="B1167" s="1">
        <v>46039.2565972222</v>
      </c>
      <c r="C1167" s="1">
        <v>46039.257175925901</v>
      </c>
      <c r="D1167" t="s">
        <v>17</v>
      </c>
      <c r="E1167" t="s">
        <v>23</v>
      </c>
      <c r="F1167">
        <v>21119</v>
      </c>
      <c r="G1167" t="str">
        <f>VLOOKUP(F1167,Produtos!A:B,2,FALSE)</f>
        <v>SKOL BEATS GT LT 269ML CX CAR C/8</v>
      </c>
      <c r="H1167" t="s">
        <v>499</v>
      </c>
      <c r="I116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7" s="9" t="str">
        <f>VLOOKUP(Table1[[#This Row],[Área avaliada]],Endereços!A:B,2,0)</f>
        <v>Área Azul</v>
      </c>
      <c r="K1167" t="s">
        <v>510</v>
      </c>
    </row>
    <row r="1168" spans="1:11" x14ac:dyDescent="0.3">
      <c r="A1168">
        <v>1167</v>
      </c>
      <c r="B1168" s="1">
        <v>46039.257210648102</v>
      </c>
      <c r="C1168" s="1">
        <v>46039.257511574098</v>
      </c>
      <c r="D1168" t="s">
        <v>17</v>
      </c>
      <c r="E1168" t="s">
        <v>23</v>
      </c>
      <c r="F1168">
        <v>35617</v>
      </c>
      <c r="G1168" t="e">
        <f>VLOOKUP(F1168,Produtos!A:B,2,FALSE)</f>
        <v>#N/A</v>
      </c>
      <c r="H1168" t="s">
        <v>499</v>
      </c>
      <c r="I116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8" s="9" t="str">
        <f>VLOOKUP(Table1[[#This Row],[Área avaliada]],Endereços!A:B,2,0)</f>
        <v>Área Azul</v>
      </c>
      <c r="K1168" t="s">
        <v>510</v>
      </c>
    </row>
    <row r="1169" spans="1:11" x14ac:dyDescent="0.3">
      <c r="A1169">
        <v>1168</v>
      </c>
      <c r="B1169" s="1">
        <v>46039.258993055599</v>
      </c>
      <c r="C1169" s="1">
        <v>46039.259282407402</v>
      </c>
      <c r="D1169" t="s">
        <v>17</v>
      </c>
      <c r="E1169" t="s">
        <v>23</v>
      </c>
      <c r="F1169">
        <v>9067</v>
      </c>
      <c r="G1169" t="str">
        <f>VLOOKUP(F1169,Produtos!A:B,2,FALSE)</f>
        <v>ANTARCTICA PILSEN LATA 350ML SH C/12 NPA</v>
      </c>
      <c r="H1169" t="s">
        <v>499</v>
      </c>
      <c r="I116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9" s="9" t="str">
        <f>VLOOKUP(Table1[[#This Row],[Área avaliada]],Endereços!A:B,2,0)</f>
        <v>Área Azul</v>
      </c>
      <c r="K1169" t="s">
        <v>510</v>
      </c>
    </row>
    <row r="1170" spans="1:11" x14ac:dyDescent="0.3">
      <c r="A1170">
        <v>1169</v>
      </c>
      <c r="B1170" s="1">
        <v>46039.259918981501</v>
      </c>
      <c r="C1170" s="1">
        <v>46039.2601967593</v>
      </c>
      <c r="D1170" t="s">
        <v>17</v>
      </c>
      <c r="E1170" t="s">
        <v>23</v>
      </c>
      <c r="F1170">
        <v>9071</v>
      </c>
      <c r="G1170" t="str">
        <f>VLOOKUP(F1170,Produtos!A:B,2,FALSE)</f>
        <v>CARACU LATA 350ML SH C/12 NPAL</v>
      </c>
      <c r="H1170" t="s">
        <v>499</v>
      </c>
      <c r="I117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0" s="9" t="str">
        <f>VLOOKUP(Table1[[#This Row],[Área avaliada]],Endereços!A:B,2,0)</f>
        <v>Área Azul</v>
      </c>
      <c r="K1170" t="s">
        <v>510</v>
      </c>
    </row>
    <row r="1171" spans="1:11" x14ac:dyDescent="0.3">
      <c r="A1171">
        <v>1170</v>
      </c>
      <c r="B1171" s="1">
        <v>46039.261168981502</v>
      </c>
      <c r="C1171" s="1">
        <v>46039.261458333298</v>
      </c>
      <c r="D1171" t="s">
        <v>17</v>
      </c>
      <c r="E1171" t="s">
        <v>23</v>
      </c>
      <c r="F1171">
        <v>9071</v>
      </c>
      <c r="G1171" t="str">
        <f>VLOOKUP(F1171,Produtos!A:B,2,FALSE)</f>
        <v>CARACU LATA 350ML SH C/12 NPAL</v>
      </c>
      <c r="H1171" t="s">
        <v>499</v>
      </c>
      <c r="I117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1" s="9" t="str">
        <f>VLOOKUP(Table1[[#This Row],[Área avaliada]],Endereços!A:B,2,0)</f>
        <v>Área Azul</v>
      </c>
      <c r="K1171" t="s">
        <v>510</v>
      </c>
    </row>
    <row r="1172" spans="1:11" x14ac:dyDescent="0.3">
      <c r="A1172">
        <v>1171</v>
      </c>
      <c r="B1172" s="1">
        <v>46039.262708333299</v>
      </c>
      <c r="C1172" s="1">
        <v>46039.263009259303</v>
      </c>
      <c r="D1172" t="s">
        <v>17</v>
      </c>
      <c r="E1172" t="s">
        <v>25</v>
      </c>
      <c r="F1172">
        <v>9068</v>
      </c>
      <c r="G1172" t="str">
        <f>VLOOKUP(F1172,Produtos!A:B,2,FALSE)</f>
        <v>SKOL LATA 350ML SH C/12 NPAL</v>
      </c>
      <c r="H1172" t="s">
        <v>499</v>
      </c>
      <c r="I117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2" s="9" t="str">
        <f>VLOOKUP(Table1[[#This Row],[Área avaliada]],Endereços!A:B,2,0)</f>
        <v>Área Azul</v>
      </c>
      <c r="K1172" t="s">
        <v>510</v>
      </c>
    </row>
    <row r="1173" spans="1:11" x14ac:dyDescent="0.3">
      <c r="A1173">
        <v>1172</v>
      </c>
      <c r="B1173" s="1">
        <v>46039.2647222222</v>
      </c>
      <c r="C1173" s="1">
        <v>46039.265046296299</v>
      </c>
      <c r="D1173" t="s">
        <v>17</v>
      </c>
      <c r="E1173" t="s">
        <v>33</v>
      </c>
      <c r="F1173">
        <v>9067</v>
      </c>
      <c r="G1173" t="str">
        <f>VLOOKUP(F1173,Produtos!A:B,2,FALSE)</f>
        <v>ANTARCTICA PILSEN LATA 350ML SH C/12 NPA</v>
      </c>
      <c r="H1173" t="s">
        <v>499</v>
      </c>
      <c r="I117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3" s="9" t="str">
        <f>VLOOKUP(Table1[[#This Row],[Área avaliada]],Endereços!A:B,2,0)</f>
        <v>Área Verde</v>
      </c>
      <c r="K1173" t="s">
        <v>510</v>
      </c>
    </row>
    <row r="1174" spans="1:11" x14ac:dyDescent="0.3">
      <c r="A1174">
        <v>1173</v>
      </c>
      <c r="B1174" s="1">
        <v>46042.328055555598</v>
      </c>
      <c r="C1174" s="1">
        <v>46042.328368055598</v>
      </c>
      <c r="D1174" t="s">
        <v>17</v>
      </c>
      <c r="E1174" t="s">
        <v>23</v>
      </c>
      <c r="F1174">
        <v>9089</v>
      </c>
      <c r="G1174" t="str">
        <f>VLOOKUP(F1174,Produtos!A:B,2,FALSE)</f>
        <v>SUKITA LATA 350ML SH C/12 NPAL</v>
      </c>
      <c r="H1174" t="s">
        <v>499</v>
      </c>
      <c r="I117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4" s="9" t="str">
        <f>VLOOKUP(Table1[[#This Row],[Área avaliada]],Endereços!A:B,2,0)</f>
        <v>Área Azul</v>
      </c>
      <c r="K1174" t="s">
        <v>510</v>
      </c>
    </row>
    <row r="1175" spans="1:11" x14ac:dyDescent="0.3">
      <c r="A1175">
        <v>1174</v>
      </c>
      <c r="B1175" s="1">
        <v>46042.329224537003</v>
      </c>
      <c r="C1175" s="1">
        <v>46042.329537037003</v>
      </c>
      <c r="D1175" t="s">
        <v>17</v>
      </c>
      <c r="E1175" t="s">
        <v>23</v>
      </c>
      <c r="F1175">
        <v>9096</v>
      </c>
      <c r="G1175" t="str">
        <f>VLOOKUP(F1175,Produtos!A:B,2,FALSE)</f>
        <v>PEPSI COLA LATA 350ML SH C/12 NPAL</v>
      </c>
      <c r="H1175" t="s">
        <v>499</v>
      </c>
      <c r="I117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5" s="9" t="str">
        <f>VLOOKUP(Table1[[#This Row],[Área avaliada]],Endereços!A:B,2,0)</f>
        <v>Área Azul</v>
      </c>
      <c r="K1175" t="s">
        <v>510</v>
      </c>
    </row>
    <row r="1176" spans="1:11" x14ac:dyDescent="0.3">
      <c r="A1176">
        <v>1175</v>
      </c>
      <c r="B1176" s="1">
        <v>46042.330497685201</v>
      </c>
      <c r="C1176" s="1">
        <v>46042.3308217593</v>
      </c>
      <c r="D1176" t="s">
        <v>17</v>
      </c>
      <c r="E1176" t="s">
        <v>23</v>
      </c>
      <c r="F1176">
        <v>32319</v>
      </c>
      <c r="G1176" t="e">
        <f>VLOOKUP(F1176,Produtos!A:B,2,FALSE)</f>
        <v>#N/A</v>
      </c>
      <c r="H1176" t="s">
        <v>499</v>
      </c>
      <c r="I117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6" s="9" t="str">
        <f>VLOOKUP(Table1[[#This Row],[Área avaliada]],Endereços!A:B,2,0)</f>
        <v>Área Azul</v>
      </c>
      <c r="K1176" t="s">
        <v>510</v>
      </c>
    </row>
    <row r="1177" spans="1:11" x14ac:dyDescent="0.3">
      <c r="A1177">
        <v>1176</v>
      </c>
      <c r="B1177" s="1">
        <v>46042.331712963001</v>
      </c>
      <c r="C1177" s="1">
        <v>46042.332222222198</v>
      </c>
      <c r="D1177" t="s">
        <v>17</v>
      </c>
      <c r="E1177" t="s">
        <v>23</v>
      </c>
      <c r="F1177">
        <v>2008</v>
      </c>
      <c r="G1177" t="str">
        <f>VLOOKUP(F1177,Produtos!A:B,2,FALSE)</f>
        <v>ANTARCTICA SUBZERO LT 350ML SH C/12 NPAL</v>
      </c>
      <c r="H1177" t="s">
        <v>499</v>
      </c>
      <c r="I117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7" s="9" t="str">
        <f>VLOOKUP(Table1[[#This Row],[Área avaliada]],Endereços!A:B,2,0)</f>
        <v>Área Azul</v>
      </c>
      <c r="K1177" t="s">
        <v>510</v>
      </c>
    </row>
    <row r="1178" spans="1:11" x14ac:dyDescent="0.3">
      <c r="A1178">
        <v>1177</v>
      </c>
      <c r="B1178" s="1">
        <v>46042.333599537</v>
      </c>
      <c r="C1178" s="1">
        <v>46042.333912037</v>
      </c>
      <c r="D1178" t="s">
        <v>17</v>
      </c>
      <c r="E1178" t="s">
        <v>23</v>
      </c>
      <c r="F1178">
        <v>9085</v>
      </c>
      <c r="G1178" t="str">
        <f>VLOOKUP(F1178,Produtos!A:B,2,FALSE)</f>
        <v>GUARANA CHP ANTARCT DIET LT350ML SHC/12</v>
      </c>
      <c r="H1178" t="s">
        <v>499</v>
      </c>
      <c r="I117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8" s="9" t="str">
        <f>VLOOKUP(Table1[[#This Row],[Área avaliada]],Endereços!A:B,2,0)</f>
        <v>Área Azul</v>
      </c>
      <c r="K1178" t="s">
        <v>510</v>
      </c>
    </row>
    <row r="1179" spans="1:11" x14ac:dyDescent="0.3">
      <c r="A1179">
        <v>1178</v>
      </c>
      <c r="B1179" s="1">
        <v>46042.3350347222</v>
      </c>
      <c r="C1179" s="1">
        <v>46042.335324074098</v>
      </c>
      <c r="D1179" t="s">
        <v>17</v>
      </c>
      <c r="E1179" t="s">
        <v>23</v>
      </c>
      <c r="F1179">
        <v>9085</v>
      </c>
      <c r="G1179" t="str">
        <f>VLOOKUP(F1179,Produtos!A:B,2,FALSE)</f>
        <v>GUARANA CHP ANTARCT DIET LT350ML SHC/12</v>
      </c>
      <c r="H1179" t="s">
        <v>499</v>
      </c>
      <c r="I117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9" s="9" t="str">
        <f>VLOOKUP(Table1[[#This Row],[Área avaliada]],Endereços!A:B,2,0)</f>
        <v>Área Azul</v>
      </c>
      <c r="K1179" t="s">
        <v>510</v>
      </c>
    </row>
    <row r="1180" spans="1:11" x14ac:dyDescent="0.3">
      <c r="A1180">
        <v>1179</v>
      </c>
      <c r="B1180" s="1">
        <v>46042.3364351852</v>
      </c>
      <c r="C1180" s="1">
        <v>46042.337233796301</v>
      </c>
      <c r="D1180" t="s">
        <v>17</v>
      </c>
      <c r="E1180" t="s">
        <v>23</v>
      </c>
      <c r="F1180">
        <v>28512</v>
      </c>
      <c r="G1180" t="str">
        <f>VLOOKUP(F1180,Produtos!A:B,2,FALSE)</f>
        <v>PEPSI BLACK 1,5L SH C/6</v>
      </c>
      <c r="H1180" t="s">
        <v>499</v>
      </c>
      <c r="I118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0" s="9" t="str">
        <f>VLOOKUP(Table1[[#This Row],[Área avaliada]],Endereços!A:B,2,0)</f>
        <v>Área Azul</v>
      </c>
      <c r="K1180" t="s">
        <v>510</v>
      </c>
    </row>
    <row r="1181" spans="1:11" x14ac:dyDescent="0.3">
      <c r="A1181">
        <v>1180</v>
      </c>
      <c r="B1181" s="1">
        <v>46042.338287036997</v>
      </c>
      <c r="C1181" s="1">
        <v>46042.338622685202</v>
      </c>
      <c r="D1181" t="s">
        <v>17</v>
      </c>
      <c r="E1181" t="s">
        <v>23</v>
      </c>
      <c r="F1181">
        <v>13566</v>
      </c>
      <c r="G1181" t="str">
        <f>VLOOKUP(F1181,Produtos!A:B,2,FALSE)</f>
        <v>SKOL BEATS SENSES LATA 269ML CX C/8 FRID</v>
      </c>
      <c r="H1181" t="s">
        <v>499</v>
      </c>
      <c r="I118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1" s="9" t="str">
        <f>VLOOKUP(Table1[[#This Row],[Área avaliada]],Endereços!A:B,2,0)</f>
        <v>Área Azul</v>
      </c>
      <c r="K1181" t="s">
        <v>510</v>
      </c>
    </row>
    <row r="1182" spans="1:11" x14ac:dyDescent="0.3">
      <c r="A1182">
        <v>1181</v>
      </c>
      <c r="B1182" s="1">
        <v>46043.337581018503</v>
      </c>
      <c r="C1182" s="1">
        <v>46043.338032407402</v>
      </c>
      <c r="D1182" t="s">
        <v>17</v>
      </c>
      <c r="E1182" t="s">
        <v>23</v>
      </c>
      <c r="F1182">
        <v>34608</v>
      </c>
      <c r="G1182" t="str">
        <f>VLOOKUP(F1182,Produtos!A:B,2,FALSE)</f>
        <v>SKOL LATA 350ML SH C/12 MULTIPAK</v>
      </c>
      <c r="H1182" t="s">
        <v>499</v>
      </c>
      <c r="I118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2" s="9" t="str">
        <f>VLOOKUP(Table1[[#This Row],[Área avaliada]],Endereços!A:B,2,0)</f>
        <v>Área Azul</v>
      </c>
      <c r="K1182" t="s">
        <v>510</v>
      </c>
    </row>
    <row r="1183" spans="1:11" x14ac:dyDescent="0.3">
      <c r="A1183">
        <v>1182</v>
      </c>
      <c r="B1183" s="1">
        <v>46043.338356481501</v>
      </c>
      <c r="C1183" s="1">
        <v>46043.338657407403</v>
      </c>
      <c r="D1183" t="s">
        <v>17</v>
      </c>
      <c r="E1183" t="s">
        <v>23</v>
      </c>
      <c r="F1183">
        <v>33818</v>
      </c>
      <c r="G1183" t="str">
        <f>VLOOKUP(F1183,Produtos!A:B,2,FALSE)</f>
        <v>ORIGINAL LT 350ML SH C/12 NP MULTIPACK</v>
      </c>
      <c r="H1183" t="s">
        <v>499</v>
      </c>
      <c r="I118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3" s="9" t="str">
        <f>VLOOKUP(Table1[[#This Row],[Área avaliada]],Endereços!A:B,2,0)</f>
        <v>Área Azul</v>
      </c>
      <c r="K1183" t="s">
        <v>510</v>
      </c>
    </row>
    <row r="1184" spans="1:11" x14ac:dyDescent="0.3">
      <c r="A1184">
        <v>1183</v>
      </c>
      <c r="B1184" s="1">
        <v>46043.549548611103</v>
      </c>
      <c r="C1184" s="1">
        <v>46043.550277777802</v>
      </c>
      <c r="D1184" t="s">
        <v>7</v>
      </c>
      <c r="E1184" t="s">
        <v>32</v>
      </c>
      <c r="F1184">
        <v>9069</v>
      </c>
      <c r="G1184" t="str">
        <f>VLOOKUP(F1184,Produtos!A:B,2,FALSE)</f>
        <v>BRAHMA CHOPP LATA 350ML SH C/12 NPAL</v>
      </c>
      <c r="H1184" t="s">
        <v>499</v>
      </c>
      <c r="I118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4" s="9" t="str">
        <f>VLOOKUP(Table1[[#This Row],[Área avaliada]],Endereços!A:B,2,0)</f>
        <v>Área Vermelho</v>
      </c>
      <c r="K1184" t="str">
        <f>VLOOKUP(Table1[[#This Row],[Nome do avaliador ]],M:N,2,0)</f>
        <v>A</v>
      </c>
    </row>
    <row r="1185" spans="1:11" x14ac:dyDescent="0.3">
      <c r="A1185">
        <v>1184</v>
      </c>
      <c r="B1185" s="1">
        <v>46046.255162037</v>
      </c>
      <c r="C1185" s="1">
        <v>46046.255555555603</v>
      </c>
      <c r="D1185" t="s">
        <v>17</v>
      </c>
      <c r="E1185" t="s">
        <v>23</v>
      </c>
      <c r="F1185">
        <v>9069</v>
      </c>
      <c r="G1185" t="str">
        <f>VLOOKUP(F1185,Produtos!A:B,2,FALSE)</f>
        <v>BRAHMA CHOPP LATA 350ML SH C/12 NPAL</v>
      </c>
      <c r="H1185" t="s">
        <v>499</v>
      </c>
      <c r="I118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5" s="9" t="str">
        <f>VLOOKUP(Table1[[#This Row],[Área avaliada]],Endereços!A:B,2,0)</f>
        <v>Área Azul</v>
      </c>
      <c r="K1185" t="s">
        <v>510</v>
      </c>
    </row>
    <row r="1186" spans="1:11" x14ac:dyDescent="0.3">
      <c r="A1186">
        <v>1185</v>
      </c>
      <c r="B1186" s="1">
        <v>46046.2558333333</v>
      </c>
      <c r="C1186" s="1">
        <v>46046.256122685198</v>
      </c>
      <c r="D1186" t="s">
        <v>17</v>
      </c>
      <c r="E1186" t="s">
        <v>23</v>
      </c>
      <c r="F1186">
        <v>9069</v>
      </c>
      <c r="G1186" t="str">
        <f>VLOOKUP(F1186,Produtos!A:B,2,FALSE)</f>
        <v>BRAHMA CHOPP LATA 350ML SH C/12 NPAL</v>
      </c>
      <c r="H1186" t="s">
        <v>499</v>
      </c>
      <c r="I118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6" s="9" t="str">
        <f>VLOOKUP(Table1[[#This Row],[Área avaliada]],Endereços!A:B,2,0)</f>
        <v>Área Azul</v>
      </c>
      <c r="K1186" t="s">
        <v>510</v>
      </c>
    </row>
    <row r="1187" spans="1:11" x14ac:dyDescent="0.3">
      <c r="A1187">
        <v>1186</v>
      </c>
      <c r="B1187" s="1">
        <v>46046.256851851896</v>
      </c>
      <c r="C1187" s="1">
        <v>46046.257118055597</v>
      </c>
      <c r="D1187" t="s">
        <v>17</v>
      </c>
      <c r="E1187" t="s">
        <v>23</v>
      </c>
      <c r="F1187">
        <v>9069</v>
      </c>
      <c r="G1187" t="str">
        <f>VLOOKUP(F1187,Produtos!A:B,2,FALSE)</f>
        <v>BRAHMA CHOPP LATA 350ML SH C/12 NPAL</v>
      </c>
      <c r="H1187" t="s">
        <v>499</v>
      </c>
      <c r="I118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7" s="9" t="str">
        <f>VLOOKUP(Table1[[#This Row],[Área avaliada]],Endereços!A:B,2,0)</f>
        <v>Área Azul</v>
      </c>
      <c r="K1187" t="s">
        <v>510</v>
      </c>
    </row>
    <row r="1188" spans="1:11" x14ac:dyDescent="0.3">
      <c r="A1188">
        <v>1187</v>
      </c>
      <c r="B1188" s="1">
        <v>46046.260891203703</v>
      </c>
      <c r="C1188" s="1">
        <v>46046.261192129597</v>
      </c>
      <c r="D1188" t="s">
        <v>17</v>
      </c>
      <c r="E1188" t="s">
        <v>23</v>
      </c>
      <c r="F1188">
        <v>9069</v>
      </c>
      <c r="G1188" t="str">
        <f>VLOOKUP(F1188,Produtos!A:B,2,FALSE)</f>
        <v>BRAHMA CHOPP LATA 350ML SH C/12 NPAL</v>
      </c>
      <c r="H1188" t="s">
        <v>499</v>
      </c>
      <c r="I118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8" s="9" t="str">
        <f>VLOOKUP(Table1[[#This Row],[Área avaliada]],Endereços!A:B,2,0)</f>
        <v>Área Azul</v>
      </c>
      <c r="K1188" t="s">
        <v>510</v>
      </c>
    </row>
    <row r="1189" spans="1:11" x14ac:dyDescent="0.3">
      <c r="A1189">
        <v>1188</v>
      </c>
      <c r="B1189" s="1">
        <v>46049.402013888903</v>
      </c>
      <c r="C1189" s="1">
        <v>46049.402395833298</v>
      </c>
      <c r="D1189" t="s">
        <v>17</v>
      </c>
      <c r="E1189" t="s">
        <v>25</v>
      </c>
      <c r="F1189">
        <v>9069</v>
      </c>
      <c r="G1189" t="str">
        <f>VLOOKUP(F1189,Produtos!A:B,2,FALSE)</f>
        <v>BRAHMA CHOPP LATA 350ML SH C/12 NPAL</v>
      </c>
      <c r="H1189" t="s">
        <v>499</v>
      </c>
      <c r="I118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9" s="9" t="str">
        <f>VLOOKUP(Table1[[#This Row],[Área avaliada]],Endereços!A:B,2,0)</f>
        <v>Área Azul</v>
      </c>
      <c r="K1189" t="s">
        <v>510</v>
      </c>
    </row>
    <row r="1190" spans="1:11" x14ac:dyDescent="0.3">
      <c r="A1190">
        <v>1189</v>
      </c>
      <c r="B1190" s="1">
        <v>46049.403379629599</v>
      </c>
      <c r="C1190" s="1">
        <v>46049.403680555602</v>
      </c>
      <c r="D1190" t="s">
        <v>17</v>
      </c>
      <c r="E1190" t="s">
        <v>25</v>
      </c>
      <c r="F1190">
        <v>14135</v>
      </c>
      <c r="G1190" t="str">
        <f>VLOOKUP(F1190,Produtos!A:B,2,FALSE)</f>
        <v>BUDWEISER LT 473ML SIX-PACK SH C/2 NPAL</v>
      </c>
      <c r="H1190" t="s">
        <v>499</v>
      </c>
      <c r="I119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0" s="9" t="str">
        <f>VLOOKUP(Table1[[#This Row],[Área avaliada]],Endereços!A:B,2,0)</f>
        <v>Área Azul</v>
      </c>
      <c r="K1190" t="s">
        <v>510</v>
      </c>
    </row>
    <row r="1191" spans="1:11" x14ac:dyDescent="0.3">
      <c r="A1191">
        <v>1190</v>
      </c>
      <c r="B1191" s="1">
        <v>46049.8448263889</v>
      </c>
      <c r="C1191" s="1">
        <v>46049.845474537004</v>
      </c>
      <c r="D1191" t="s">
        <v>38</v>
      </c>
      <c r="E1191" t="s">
        <v>23</v>
      </c>
      <c r="F1191">
        <v>9096</v>
      </c>
      <c r="G1191" t="str">
        <f>VLOOKUP(F1191,Produtos!A:B,2,FALSE)</f>
        <v>PEPSI COLA LATA 350ML SH C/12 NPAL</v>
      </c>
      <c r="H1191" t="s">
        <v>499</v>
      </c>
      <c r="I119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1" s="9" t="str">
        <f>VLOOKUP(Table1[[#This Row],[Área avaliada]],Endereços!A:B,2,0)</f>
        <v>Área Azul</v>
      </c>
      <c r="K1191" t="str">
        <f>VLOOKUP(Table1[[#This Row],[Nome do avaliador ]],M:N,2,0)</f>
        <v>B</v>
      </c>
    </row>
    <row r="1192" spans="1:11" x14ac:dyDescent="0.3">
      <c r="A1192">
        <v>1191</v>
      </c>
      <c r="B1192" s="1">
        <v>46049.845509259299</v>
      </c>
      <c r="C1192" s="1">
        <v>46049.846516203703</v>
      </c>
      <c r="D1192" t="s">
        <v>38</v>
      </c>
      <c r="E1192" t="s">
        <v>23</v>
      </c>
      <c r="F1192">
        <v>9071</v>
      </c>
      <c r="G1192" t="str">
        <f>VLOOKUP(F1192,Produtos!A:B,2,FALSE)</f>
        <v>CARACU LATA 350ML SH C/12 NPAL</v>
      </c>
      <c r="H1192" t="s">
        <v>499</v>
      </c>
      <c r="I119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2" s="9" t="str">
        <f>VLOOKUP(Table1[[#This Row],[Área avaliada]],Endereços!A:B,2,0)</f>
        <v>Área Azul</v>
      </c>
      <c r="K1192" t="str">
        <f>VLOOKUP(Table1[[#This Row],[Nome do avaliador ]],M:N,2,0)</f>
        <v>B</v>
      </c>
    </row>
    <row r="1193" spans="1:11" x14ac:dyDescent="0.3">
      <c r="A1193">
        <v>1192</v>
      </c>
      <c r="B1193" s="1">
        <v>46049.846527777801</v>
      </c>
      <c r="C1193" s="1">
        <v>46049.847071759301</v>
      </c>
      <c r="D1193" t="s">
        <v>38</v>
      </c>
      <c r="E1193" t="s">
        <v>23</v>
      </c>
      <c r="F1193">
        <v>18762</v>
      </c>
      <c r="G1193" t="e">
        <f>VLOOKUP(F1193,Produtos!A:B,2,FALSE)</f>
        <v>#N/A</v>
      </c>
      <c r="H1193" t="s">
        <v>499</v>
      </c>
      <c r="I119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3" s="9" t="str">
        <f>VLOOKUP(Table1[[#This Row],[Área avaliada]],Endereços!A:B,2,0)</f>
        <v>Área Azul</v>
      </c>
      <c r="K1193" t="str">
        <f>VLOOKUP(Table1[[#This Row],[Nome do avaliador ]],M:N,2,0)</f>
        <v>B</v>
      </c>
    </row>
    <row r="1194" spans="1:11" x14ac:dyDescent="0.3">
      <c r="A1194">
        <v>1193</v>
      </c>
      <c r="B1194" s="1">
        <v>46049.847094907404</v>
      </c>
      <c r="C1194" s="1">
        <v>46049.847986111097</v>
      </c>
      <c r="D1194" t="s">
        <v>38</v>
      </c>
      <c r="E1194" t="s">
        <v>33</v>
      </c>
      <c r="F1194">
        <v>18836</v>
      </c>
      <c r="G1194" t="str">
        <f>VLOOKUP(F1194,Produtos!A:B,2,FALSE)</f>
        <v>CORONA EXTRA NAC LN 330 CX C/24 NPAL</v>
      </c>
      <c r="H1194" t="s">
        <v>499</v>
      </c>
      <c r="I119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4" s="9" t="str">
        <f>VLOOKUP(Table1[[#This Row],[Área avaliada]],Endereços!A:B,2,0)</f>
        <v>Área Verde</v>
      </c>
      <c r="K1194" t="str">
        <f>VLOOKUP(Table1[[#This Row],[Nome do avaliador ]],M:N,2,0)</f>
        <v>B</v>
      </c>
    </row>
    <row r="1195" spans="1:11" x14ac:dyDescent="0.3">
      <c r="A1195">
        <v>1194</v>
      </c>
      <c r="B1195" s="1">
        <v>46049.848009259302</v>
      </c>
      <c r="C1195" s="1">
        <v>46049.848541666703</v>
      </c>
      <c r="D1195" t="s">
        <v>38</v>
      </c>
      <c r="E1195" t="s">
        <v>23</v>
      </c>
      <c r="F1195">
        <v>14135</v>
      </c>
      <c r="G1195" t="str">
        <f>VLOOKUP(F1195,Produtos!A:B,2,FALSE)</f>
        <v>BUDWEISER LT 473ML SIX-PACK SH C/2 NPAL</v>
      </c>
      <c r="H1195" t="s">
        <v>499</v>
      </c>
      <c r="I119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5" s="9" t="str">
        <f>VLOOKUP(Table1[[#This Row],[Área avaliada]],Endereços!A:B,2,0)</f>
        <v>Área Azul</v>
      </c>
      <c r="K1195" t="str">
        <f>VLOOKUP(Table1[[#This Row],[Nome do avaliador ]],M:N,2,0)</f>
        <v>B</v>
      </c>
    </row>
    <row r="1196" spans="1:11" x14ac:dyDescent="0.3">
      <c r="A1196">
        <v>1195</v>
      </c>
      <c r="B1196" s="1">
        <v>46049.848634259302</v>
      </c>
      <c r="C1196" s="1">
        <v>46049.8491782407</v>
      </c>
      <c r="D1196" t="s">
        <v>38</v>
      </c>
      <c r="E1196" t="s">
        <v>25</v>
      </c>
      <c r="F1196">
        <v>4409</v>
      </c>
      <c r="G1196" t="str">
        <f>VLOOKUP(F1196,Produtos!A:B,2,FALSE)</f>
        <v>PEPSI TWIST PET 2L SHRINK C/6</v>
      </c>
      <c r="H1196" t="s">
        <v>499</v>
      </c>
      <c r="I119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6" s="9" t="str">
        <f>VLOOKUP(Table1[[#This Row],[Área avaliada]],Endereços!A:B,2,0)</f>
        <v>Área Azul</v>
      </c>
      <c r="K1196" t="str">
        <f>VLOOKUP(Table1[[#This Row],[Nome do avaliador ]],M:N,2,0)</f>
        <v>B</v>
      </c>
    </row>
    <row r="1197" spans="1:11" x14ac:dyDescent="0.3">
      <c r="A1197">
        <v>1196</v>
      </c>
      <c r="B1197" s="1">
        <v>46049.849189814799</v>
      </c>
      <c r="C1197" s="1">
        <v>46049.849722222199</v>
      </c>
      <c r="D1197" t="s">
        <v>38</v>
      </c>
      <c r="E1197" t="s">
        <v>23</v>
      </c>
      <c r="F1197">
        <v>33818</v>
      </c>
      <c r="G1197" t="str">
        <f>VLOOKUP(F1197,Produtos!A:B,2,FALSE)</f>
        <v>ORIGINAL LT 350ML SH C/12 NP MULTIPACK</v>
      </c>
      <c r="H1197" t="s">
        <v>499</v>
      </c>
      <c r="I119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7" s="9" t="str">
        <f>VLOOKUP(Table1[[#This Row],[Área avaliada]],Endereços!A:B,2,0)</f>
        <v>Área Azul</v>
      </c>
      <c r="K1197" t="str">
        <f>VLOOKUP(Table1[[#This Row],[Nome do avaliador ]],M:N,2,0)</f>
        <v>B</v>
      </c>
    </row>
    <row r="1198" spans="1:11" x14ac:dyDescent="0.3">
      <c r="A1198">
        <v>1197</v>
      </c>
      <c r="B1198" s="1">
        <v>46049.849768518499</v>
      </c>
      <c r="C1198" s="1">
        <v>46049.850219907399</v>
      </c>
      <c r="D1198" t="s">
        <v>38</v>
      </c>
      <c r="E1198" t="s">
        <v>25</v>
      </c>
      <c r="F1198">
        <v>4293</v>
      </c>
      <c r="G1198" t="str">
        <f>VLOOKUP(F1198,Produtos!A:B,2,FALSE)</f>
        <v>PEPSI BLACK PET 200ML SH C/12</v>
      </c>
      <c r="H1198" t="s">
        <v>499</v>
      </c>
      <c r="I119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8" s="9" t="str">
        <f>VLOOKUP(Table1[[#This Row],[Área avaliada]],Endereços!A:B,2,0)</f>
        <v>Área Azul</v>
      </c>
      <c r="K1198" t="str">
        <f>VLOOKUP(Table1[[#This Row],[Nome do avaliador ]],M:N,2,0)</f>
        <v>B</v>
      </c>
    </row>
    <row r="1199" spans="1:11" x14ac:dyDescent="0.3">
      <c r="A1199">
        <v>1198</v>
      </c>
      <c r="B1199" s="1">
        <v>46049.850243055596</v>
      </c>
      <c r="C1199" s="1">
        <v>46049.850833333301</v>
      </c>
      <c r="D1199" t="s">
        <v>38</v>
      </c>
      <c r="E1199" t="s">
        <v>23</v>
      </c>
      <c r="F1199">
        <v>9089</v>
      </c>
      <c r="G1199" t="str">
        <f>VLOOKUP(F1199,Produtos!A:B,2,FALSE)</f>
        <v>SUKITA LATA 350ML SH C/12 NPAL</v>
      </c>
      <c r="H1199" t="s">
        <v>499</v>
      </c>
      <c r="I119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9" s="9" t="str">
        <f>VLOOKUP(Table1[[#This Row],[Área avaliada]],Endereços!A:B,2,0)</f>
        <v>Área Azul</v>
      </c>
      <c r="K1199" t="str">
        <f>VLOOKUP(Table1[[#This Row],[Nome do avaliador ]],M:N,2,0)</f>
        <v>B</v>
      </c>
    </row>
    <row r="1200" spans="1:11" x14ac:dyDescent="0.3">
      <c r="A1200">
        <v>1199</v>
      </c>
      <c r="B1200" s="1">
        <v>46049.850879629601</v>
      </c>
      <c r="C1200" s="1">
        <v>46049.851354166698</v>
      </c>
      <c r="D1200" t="s">
        <v>38</v>
      </c>
      <c r="E1200" t="s">
        <v>23</v>
      </c>
      <c r="F1200">
        <v>19310</v>
      </c>
      <c r="G1200" t="str">
        <f>VLOOKUP(F1200,Produtos!A:B,2,FALSE)</f>
        <v>ORIGINAL LATA 350ML CX CARTAO C/12 NPAL</v>
      </c>
      <c r="H1200" t="s">
        <v>499</v>
      </c>
      <c r="I120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0" s="9" t="str">
        <f>VLOOKUP(Table1[[#This Row],[Área avaliada]],Endereços!A:B,2,0)</f>
        <v>Área Azul</v>
      </c>
      <c r="K1200" t="str">
        <f>VLOOKUP(Table1[[#This Row],[Nome do avaliador ]],M:N,2,0)</f>
        <v>B</v>
      </c>
    </row>
    <row r="1201" spans="1:11" x14ac:dyDescent="0.3">
      <c r="A1201">
        <v>1200</v>
      </c>
      <c r="B1201" s="1">
        <v>46049.851412037002</v>
      </c>
      <c r="C1201" s="1">
        <v>46049.851817129602</v>
      </c>
      <c r="D1201" t="s">
        <v>38</v>
      </c>
      <c r="E1201" t="s">
        <v>23</v>
      </c>
      <c r="F1201">
        <v>9320</v>
      </c>
      <c r="G1201" t="str">
        <f>VLOOKUP(F1201,Produtos!A:B,2,FALSE)</f>
        <v>BRAHMA CHOPP LT 473ML SH C/12 NPAL</v>
      </c>
      <c r="H1201" t="s">
        <v>499</v>
      </c>
      <c r="I120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1" s="9" t="str">
        <f>VLOOKUP(Table1[[#This Row],[Área avaliada]],Endereços!A:B,2,0)</f>
        <v>Área Azul</v>
      </c>
      <c r="K1201" t="str">
        <f>VLOOKUP(Table1[[#This Row],[Nome do avaliador ]],M:N,2,0)</f>
        <v>B</v>
      </c>
    </row>
    <row r="1202" spans="1:11" x14ac:dyDescent="0.3">
      <c r="A1202">
        <v>1201</v>
      </c>
      <c r="B1202" s="1">
        <v>46051.761805555601</v>
      </c>
      <c r="C1202" s="1">
        <v>46051.762245370403</v>
      </c>
      <c r="D1202" t="s">
        <v>38</v>
      </c>
      <c r="E1202" t="s">
        <v>15</v>
      </c>
      <c r="F1202">
        <v>9069</v>
      </c>
      <c r="G1202" t="str">
        <f>VLOOKUP(F1202,Produtos!A:B,2,FALSE)</f>
        <v>BRAHMA CHOPP LATA 350ML SH C/12 NPAL</v>
      </c>
      <c r="H1202" t="s">
        <v>498</v>
      </c>
      <c r="I120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2" s="9" t="str">
        <f>VLOOKUP(Table1[[#This Row],[Área avaliada]],Endereços!A:B,2,0)</f>
        <v>Picking Alto Giro</v>
      </c>
      <c r="K1202" t="str">
        <f>VLOOKUP(Table1[[#This Row],[Nome do avaliador ]],M:N,2,0)</f>
        <v>B</v>
      </c>
    </row>
    <row r="1203" spans="1:11" x14ac:dyDescent="0.3">
      <c r="A1203">
        <v>1202</v>
      </c>
      <c r="B1203" s="1">
        <v>46051.788935185199</v>
      </c>
      <c r="C1203" s="1">
        <v>46051.795381944401</v>
      </c>
      <c r="D1203" t="s">
        <v>35</v>
      </c>
      <c r="E1203" t="s">
        <v>495</v>
      </c>
      <c r="F1203">
        <v>9068</v>
      </c>
      <c r="G1203" t="str">
        <f>VLOOKUP(F1203,Produtos!A:B,2,FALSE)</f>
        <v>SKOL LATA 350ML SH C/12 NPAL</v>
      </c>
      <c r="H1203" t="s">
        <v>499</v>
      </c>
      <c r="I120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3" s="9" t="str">
        <f>Endereços!B9</f>
        <v>Área Azul</v>
      </c>
      <c r="K1203" t="str">
        <f>VLOOKUP(Table1[[#This Row],[Nome do avaliador ]],M:N,2,0)</f>
        <v>B</v>
      </c>
    </row>
    <row r="1204" spans="1:11" x14ac:dyDescent="0.3">
      <c r="A1204">
        <v>1203</v>
      </c>
      <c r="B1204" s="1">
        <v>46051.795439814799</v>
      </c>
      <c r="C1204" s="1">
        <v>46051.796261574098</v>
      </c>
      <c r="D1204" t="s">
        <v>35</v>
      </c>
      <c r="E1204" t="s">
        <v>495</v>
      </c>
      <c r="F1204">
        <v>9069</v>
      </c>
      <c r="G1204" t="str">
        <f>VLOOKUP(F1204,Produtos!A:B,2,FALSE)</f>
        <v>BRAHMA CHOPP LATA 350ML SH C/12 NPAL</v>
      </c>
      <c r="H1204" t="s">
        <v>499</v>
      </c>
      <c r="I120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4" s="9" t="str">
        <f>Endereços!B10</f>
        <v>Área Azul</v>
      </c>
      <c r="K1204" t="str">
        <f>VLOOKUP(Table1[[#This Row],[Nome do avaliador ]],M:N,2,0)</f>
        <v>B</v>
      </c>
    </row>
    <row r="1205" spans="1:11" x14ac:dyDescent="0.3">
      <c r="A1205">
        <v>1204</v>
      </c>
      <c r="B1205" s="1">
        <v>46051.798738425903</v>
      </c>
      <c r="C1205" s="1">
        <v>46051.799502314803</v>
      </c>
      <c r="D1205" t="s">
        <v>35</v>
      </c>
      <c r="E1205" t="s">
        <v>495</v>
      </c>
      <c r="F1205">
        <v>9276</v>
      </c>
      <c r="G1205" t="str">
        <f>VLOOKUP(F1205,Produtos!A:B,2,FALSE)</f>
        <v>PEPSI ZERO PET 2L CX C/6</v>
      </c>
      <c r="H1205" t="s">
        <v>500</v>
      </c>
      <c r="I120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5" s="9" t="str">
        <f>Endereços!B11</f>
        <v>Área Vermelho</v>
      </c>
      <c r="K1205" t="str">
        <f>VLOOKUP(Table1[[#This Row],[Nome do avaliador ]],M:N,2,0)</f>
        <v>B</v>
      </c>
    </row>
    <row r="1206" spans="1:11" x14ac:dyDescent="0.3">
      <c r="A1206">
        <v>1205</v>
      </c>
      <c r="B1206" s="1">
        <v>46052.704571759299</v>
      </c>
      <c r="C1206" s="1">
        <v>46052.709907407399</v>
      </c>
      <c r="D1206" t="s">
        <v>22</v>
      </c>
      <c r="E1206" t="s">
        <v>495</v>
      </c>
      <c r="F1206">
        <v>9081</v>
      </c>
      <c r="G1206" t="str">
        <f>VLOOKUP(F1206,Produtos!A:B,2,FALSE)</f>
        <v>MALZBIER BRAHMA LATA 350ML SH C/12 NPAL</v>
      </c>
      <c r="H1206" t="s">
        <v>499</v>
      </c>
      <c r="I120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6" s="9" t="s">
        <v>497</v>
      </c>
      <c r="K1206" t="str">
        <f>VLOOKUP(Table1[[#This Row],[Nome do avaliador ]],M:N,2,0)</f>
        <v>B</v>
      </c>
    </row>
    <row r="1207" spans="1:11" x14ac:dyDescent="0.3">
      <c r="A1207">
        <v>1206</v>
      </c>
      <c r="B1207" s="1">
        <v>46052.854710648098</v>
      </c>
      <c r="C1207" s="1">
        <v>46052.864826388897</v>
      </c>
      <c r="D1207" t="s">
        <v>35</v>
      </c>
      <c r="E1207" t="s">
        <v>496</v>
      </c>
      <c r="F1207">
        <v>26699</v>
      </c>
      <c r="G1207" t="str">
        <f>VLOOKUP(F1207,Produtos!A:B,2,FALSE)</f>
        <v>GUAR. CHP ANT PET 2,25L SH C6 250ML GRAT</v>
      </c>
      <c r="H1207" t="s">
        <v>499</v>
      </c>
      <c r="I120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7" s="9" t="s">
        <v>497</v>
      </c>
      <c r="K1207" t="str">
        <f>VLOOKUP(Table1[[#This Row],[Nome do avaliador ]],M:N,2,0)</f>
        <v>B</v>
      </c>
    </row>
    <row r="1208" spans="1:11" x14ac:dyDescent="0.3">
      <c r="A1208">
        <v>1207</v>
      </c>
      <c r="B1208" s="1">
        <v>46052.8649421296</v>
      </c>
      <c r="C1208" s="1">
        <v>46052.865648148101</v>
      </c>
      <c r="D1208" t="s">
        <v>35</v>
      </c>
      <c r="E1208" t="s">
        <v>496</v>
      </c>
      <c r="F1208">
        <v>26699</v>
      </c>
      <c r="G1208" t="str">
        <f>VLOOKUP(F1208,Produtos!A:B,2,FALSE)</f>
        <v>GUAR. CHP ANT PET 2,25L SH C6 250ML GRAT</v>
      </c>
      <c r="H1208" t="s">
        <v>488</v>
      </c>
      <c r="I120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8" s="9" t="s">
        <v>496</v>
      </c>
      <c r="K1208" t="str">
        <f>VLOOKUP(Table1[[#This Row],[Nome do avaliador ]],M:N,2,0)</f>
        <v>B</v>
      </c>
    </row>
    <row r="1209" spans="1:11" x14ac:dyDescent="0.3">
      <c r="A1209">
        <v>1208</v>
      </c>
      <c r="B1209" s="1">
        <v>46052.865682870397</v>
      </c>
      <c r="C1209" s="1">
        <v>46052.880057870403</v>
      </c>
      <c r="D1209" t="s">
        <v>35</v>
      </c>
      <c r="E1209" t="s">
        <v>496</v>
      </c>
      <c r="G1209" t="e">
        <f>VLOOKUP(F1209,Produtos!A:B,2,FALSE)</f>
        <v>#N/A</v>
      </c>
      <c r="I120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9" s="9" t="s">
        <v>496</v>
      </c>
      <c r="K1209" t="str">
        <f>VLOOKUP(Table1[[#This Row],[Nome do avaliador ]],M:N,2,0)</f>
        <v>B</v>
      </c>
    </row>
    <row r="1210" spans="1:11" x14ac:dyDescent="0.3">
      <c r="A1210">
        <v>1209</v>
      </c>
      <c r="B1210" s="1">
        <v>46055.809236111098</v>
      </c>
      <c r="C1210" s="1">
        <v>46055.814270833303</v>
      </c>
      <c r="D1210" t="s">
        <v>31</v>
      </c>
      <c r="E1210" t="s">
        <v>496</v>
      </c>
      <c r="F1210">
        <v>2349</v>
      </c>
      <c r="G1210" t="str">
        <f>VLOOKUP(F1210,Produtos!A:B,2,FALSE)</f>
        <v>GUARANA CHP ANTARCTICA PET 2L CAIXA C/6</v>
      </c>
      <c r="H1210" t="s">
        <v>499</v>
      </c>
      <c r="I121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0" s="9" t="s">
        <v>496</v>
      </c>
      <c r="K1210" t="str">
        <f>VLOOKUP(Table1[[#This Row],[Nome do avaliador ]],M:N,2,0)</f>
        <v>B</v>
      </c>
    </row>
    <row r="1211" spans="1:11" x14ac:dyDescent="0.3">
      <c r="A1211">
        <v>1210</v>
      </c>
      <c r="B1211" s="1">
        <v>46055.8143865741</v>
      </c>
      <c r="C1211" s="1">
        <v>46055.816388888903</v>
      </c>
      <c r="D1211" t="s">
        <v>31</v>
      </c>
      <c r="E1211" t="s">
        <v>496</v>
      </c>
      <c r="F1211">
        <v>9069</v>
      </c>
      <c r="G1211" t="str">
        <f>VLOOKUP(F1211,Produtos!A:B,2,FALSE)</f>
        <v>BRAHMA CHOPP LATA 350ML SH C/12 NPAL</v>
      </c>
      <c r="H1211" t="s">
        <v>499</v>
      </c>
      <c r="I121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1" s="9" t="s">
        <v>496</v>
      </c>
      <c r="K1211" t="str">
        <f>VLOOKUP(Table1[[#This Row],[Nome do avaliador ]],M:N,2,0)</f>
        <v>B</v>
      </c>
    </row>
    <row r="1212" spans="1:11" x14ac:dyDescent="0.3">
      <c r="A1212">
        <v>1211</v>
      </c>
      <c r="B1212" s="1">
        <v>46055.826342592598</v>
      </c>
      <c r="C1212" s="1">
        <v>46055.830486111103</v>
      </c>
      <c r="D1212" t="s">
        <v>35</v>
      </c>
      <c r="E1212" t="s">
        <v>496</v>
      </c>
      <c r="F1212">
        <v>9068</v>
      </c>
      <c r="G1212" t="str">
        <f>VLOOKUP(F1212,Produtos!A:B,2,FALSE)</f>
        <v>SKOL LATA 350ML SH C/12 NPAL</v>
      </c>
      <c r="H1212" t="s">
        <v>500</v>
      </c>
      <c r="I121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2" s="9" t="s">
        <v>496</v>
      </c>
      <c r="K1212" t="str">
        <f>VLOOKUP(Table1[[#This Row],[Nome do avaliador ]],M:N,2,0)</f>
        <v>B</v>
      </c>
    </row>
    <row r="1213" spans="1:11" x14ac:dyDescent="0.3">
      <c r="A1213">
        <v>1212</v>
      </c>
      <c r="B1213" s="1">
        <v>46055.830520833297</v>
      </c>
      <c r="C1213" s="1">
        <v>46055.8360763889</v>
      </c>
      <c r="D1213" t="s">
        <v>35</v>
      </c>
      <c r="E1213" t="s">
        <v>496</v>
      </c>
      <c r="F1213">
        <v>9276</v>
      </c>
      <c r="G1213" t="str">
        <f>VLOOKUP(F1213,Produtos!A:B,2,FALSE)</f>
        <v>PEPSI ZERO PET 2L CX C/6</v>
      </c>
      <c r="H1213" t="s">
        <v>488</v>
      </c>
      <c r="I121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3" s="9" t="s">
        <v>496</v>
      </c>
      <c r="K1213" t="str">
        <f>VLOOKUP(Table1[[#This Row],[Nome do avaliador ]],M:N,2,0)</f>
        <v>B</v>
      </c>
    </row>
    <row r="1214" spans="1:11" x14ac:dyDescent="0.3">
      <c r="A1214">
        <v>1213</v>
      </c>
      <c r="B1214" s="1">
        <v>46055.836099537002</v>
      </c>
      <c r="C1214" s="1">
        <v>46055.839722222197</v>
      </c>
      <c r="D1214" t="s">
        <v>35</v>
      </c>
      <c r="E1214" t="s">
        <v>496</v>
      </c>
      <c r="F1214">
        <v>9069</v>
      </c>
      <c r="G1214" t="str">
        <f>VLOOKUP(F1214,Produtos!A:B,2,FALSE)</f>
        <v>BRAHMA CHOPP LATA 350ML SH C/12 NPAL</v>
      </c>
      <c r="H1214" t="s">
        <v>499</v>
      </c>
      <c r="I121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4" s="9" t="s">
        <v>496</v>
      </c>
      <c r="K1214" t="str">
        <f>VLOOKUP(Table1[[#This Row],[Nome do avaliador ]],M:N,2,0)</f>
        <v>B</v>
      </c>
    </row>
    <row r="1215" spans="1:11" x14ac:dyDescent="0.3">
      <c r="A1215">
        <v>1214</v>
      </c>
      <c r="B1215" s="1">
        <v>46055.840775463003</v>
      </c>
      <c r="C1215" s="1">
        <v>46055.841354166703</v>
      </c>
      <c r="D1215" t="s">
        <v>35</v>
      </c>
      <c r="E1215" t="s">
        <v>496</v>
      </c>
      <c r="F1215">
        <v>9069</v>
      </c>
      <c r="G1215" t="str">
        <f>VLOOKUP(F1215,Produtos!A:B,2,FALSE)</f>
        <v>BRAHMA CHOPP LATA 350ML SH C/12 NPAL</v>
      </c>
      <c r="H1215" t="s">
        <v>499</v>
      </c>
      <c r="I121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5" s="9" t="s">
        <v>496</v>
      </c>
      <c r="K1215" t="str">
        <f>VLOOKUP(Table1[[#This Row],[Nome do avaliador ]],M:N,2,0)</f>
        <v>B</v>
      </c>
    </row>
    <row r="1216" spans="1:11" x14ac:dyDescent="0.3">
      <c r="A1216">
        <v>1215</v>
      </c>
      <c r="B1216" s="1">
        <v>46055.863402777803</v>
      </c>
      <c r="C1216" s="1">
        <v>46055.8641319444</v>
      </c>
      <c r="D1216" t="s">
        <v>38</v>
      </c>
      <c r="E1216" t="s">
        <v>496</v>
      </c>
      <c r="F1216">
        <v>18137</v>
      </c>
      <c r="G1216" t="str">
        <f>VLOOKUP(F1216,Produtos!A:B,2,FALSE)</f>
        <v>GUARANA CHP ANTARCTICA PET 3L C4 SH LISO</v>
      </c>
      <c r="H1216" t="s">
        <v>499</v>
      </c>
      <c r="I121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6" s="9" t="s">
        <v>496</v>
      </c>
      <c r="K1216" t="str">
        <f>VLOOKUP(Table1[[#This Row],[Nome do avaliador ]],M:N,2,0)</f>
        <v>B</v>
      </c>
    </row>
    <row r="1217" spans="1:11" x14ac:dyDescent="0.3">
      <c r="A1217">
        <v>1216</v>
      </c>
      <c r="B1217" s="1">
        <v>46055.866307870398</v>
      </c>
      <c r="C1217" s="1">
        <v>46055.866863425901</v>
      </c>
      <c r="D1217" t="s">
        <v>38</v>
      </c>
      <c r="E1217" t="s">
        <v>496</v>
      </c>
      <c r="F1217">
        <v>33820</v>
      </c>
      <c r="G1217" t="e">
        <f>VLOOKUP(F1217,Produtos!A:B,2,FALSE)</f>
        <v>#N/A</v>
      </c>
      <c r="H1217" t="s">
        <v>498</v>
      </c>
      <c r="I121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7" s="9" t="s">
        <v>496</v>
      </c>
      <c r="K1217" t="str">
        <f>VLOOKUP(Table1[[#This Row],[Nome do avaliador ]],M:N,2,0)</f>
        <v>B</v>
      </c>
    </row>
    <row r="1218" spans="1:11" x14ac:dyDescent="0.3">
      <c r="A1218">
        <v>1217</v>
      </c>
      <c r="B1218" s="1">
        <v>46055.8684490741</v>
      </c>
      <c r="C1218" s="1">
        <v>46055.868784722203</v>
      </c>
      <c r="D1218" t="s">
        <v>11</v>
      </c>
      <c r="E1218" t="s">
        <v>496</v>
      </c>
      <c r="F1218">
        <v>9069</v>
      </c>
      <c r="G1218" t="str">
        <f>VLOOKUP(F1218,Produtos!A:B,2,FALSE)</f>
        <v>BRAHMA CHOPP LATA 350ML SH C/12 NPAL</v>
      </c>
      <c r="H1218" t="s">
        <v>500</v>
      </c>
      <c r="I121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8" s="9" t="s">
        <v>496</v>
      </c>
      <c r="K1218" t="str">
        <f>VLOOKUP(Table1[[#This Row],[Nome do avaliador ]],M:N,2,0)</f>
        <v>C</v>
      </c>
    </row>
    <row r="1219" spans="1:11" x14ac:dyDescent="0.3">
      <c r="A1219">
        <v>1218</v>
      </c>
      <c r="B1219" s="1">
        <v>46055.870219907403</v>
      </c>
      <c r="C1219" s="1">
        <v>46055.870590277802</v>
      </c>
      <c r="D1219" t="s">
        <v>38</v>
      </c>
      <c r="E1219" t="s">
        <v>496</v>
      </c>
      <c r="F1219">
        <v>9276</v>
      </c>
      <c r="G1219" t="str">
        <f>VLOOKUP(F1219,Produtos!A:B,2,FALSE)</f>
        <v>PEPSI ZERO PET 2L CX C/6</v>
      </c>
      <c r="H1219" t="s">
        <v>500</v>
      </c>
      <c r="I121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9" s="9" t="s">
        <v>496</v>
      </c>
      <c r="K1219" t="str">
        <f>VLOOKUP(Table1[[#This Row],[Nome do avaliador ]],M:N,2,0)</f>
        <v>B</v>
      </c>
    </row>
    <row r="1220" spans="1:11" x14ac:dyDescent="0.3">
      <c r="A1220">
        <v>1219</v>
      </c>
      <c r="B1220" s="1">
        <v>46055.872037036999</v>
      </c>
      <c r="C1220" s="1">
        <v>46055.872465277796</v>
      </c>
      <c r="D1220" t="s">
        <v>38</v>
      </c>
      <c r="E1220" t="s">
        <v>496</v>
      </c>
      <c r="F1220">
        <v>18341</v>
      </c>
      <c r="G1220" t="str">
        <f>VLOOKUP(F1220,Produtos!A:B,2,FALSE)</f>
        <v>PEPSI COLA PET 3000 ML C/04 SH LISO.</v>
      </c>
      <c r="H1220" t="s">
        <v>500</v>
      </c>
      <c r="I122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0" s="9" t="s">
        <v>496</v>
      </c>
      <c r="K1220" t="str">
        <f>VLOOKUP(Table1[[#This Row],[Nome do avaliador ]],M:N,2,0)</f>
        <v>B</v>
      </c>
    </row>
    <row r="1221" spans="1:11" x14ac:dyDescent="0.3">
      <c r="A1221">
        <v>1220</v>
      </c>
      <c r="B1221" s="1">
        <v>46055.874618055597</v>
      </c>
      <c r="C1221" s="1">
        <v>46055.8750462963</v>
      </c>
      <c r="D1221" t="s">
        <v>38</v>
      </c>
      <c r="E1221" t="s">
        <v>496</v>
      </c>
      <c r="F1221">
        <v>9081</v>
      </c>
      <c r="G1221" t="str">
        <f>VLOOKUP(F1221,Produtos!A:B,2,FALSE)</f>
        <v>MALZBIER BRAHMA LATA 350ML SH C/12 NPAL</v>
      </c>
      <c r="H1221" t="s">
        <v>500</v>
      </c>
      <c r="I122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1" s="9" t="s">
        <v>496</v>
      </c>
      <c r="K1221" t="str">
        <f>VLOOKUP(Table1[[#This Row],[Nome do avaliador ]],M:N,2,0)</f>
        <v>B</v>
      </c>
    </row>
    <row r="1222" spans="1:11" x14ac:dyDescent="0.3">
      <c r="A1222">
        <v>1221</v>
      </c>
      <c r="B1222" s="1">
        <v>46056.373032407399</v>
      </c>
      <c r="C1222" s="1">
        <v>46056.3734722222</v>
      </c>
      <c r="D1222" t="s">
        <v>17</v>
      </c>
      <c r="E1222" t="s">
        <v>497</v>
      </c>
      <c r="F1222">
        <v>9083</v>
      </c>
      <c r="G1222" t="str">
        <f>VLOOKUP(F1222,Produtos!A:B,2,FALSE)</f>
        <v>SKOL LT 473ML SH C/12 NPAL</v>
      </c>
      <c r="H1222" t="s">
        <v>499</v>
      </c>
      <c r="I122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2" s="9" t="s">
        <v>496</v>
      </c>
      <c r="K1222" t="s">
        <v>510</v>
      </c>
    </row>
    <row r="1223" spans="1:11" x14ac:dyDescent="0.3">
      <c r="A1223">
        <v>1222</v>
      </c>
      <c r="B1223" s="1">
        <v>46056.374224537001</v>
      </c>
      <c r="C1223" s="1">
        <v>46056.374444444402</v>
      </c>
      <c r="D1223" t="s">
        <v>17</v>
      </c>
      <c r="E1223" t="s">
        <v>497</v>
      </c>
      <c r="F1223">
        <v>9096</v>
      </c>
      <c r="G1223" t="str">
        <f>VLOOKUP(F1223,Produtos!A:B,2,FALSE)</f>
        <v>PEPSI COLA LATA 350ML SH C/12 NPAL</v>
      </c>
      <c r="H1223" t="s">
        <v>499</v>
      </c>
      <c r="I122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3" s="9" t="s">
        <v>496</v>
      </c>
      <c r="K1223" t="s">
        <v>510</v>
      </c>
    </row>
    <row r="1224" spans="1:11" x14ac:dyDescent="0.3">
      <c r="A1224">
        <v>1223</v>
      </c>
      <c r="B1224" s="1">
        <v>46056.375150462998</v>
      </c>
      <c r="C1224" s="1">
        <v>46056.3753587963</v>
      </c>
      <c r="D1224" t="s">
        <v>17</v>
      </c>
      <c r="E1224" t="s">
        <v>497</v>
      </c>
      <c r="F1224">
        <v>9091</v>
      </c>
      <c r="G1224" t="str">
        <f>VLOOKUP(F1224,Produtos!A:B,2,FALSE)</f>
        <v>TONICA ANTARCTICA LT 350ML SH C/12 NPAL</v>
      </c>
      <c r="H1224" t="s">
        <v>499</v>
      </c>
      <c r="I122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4" s="9" t="s">
        <v>496</v>
      </c>
      <c r="K1224" t="s">
        <v>510</v>
      </c>
    </row>
    <row r="1225" spans="1:11" x14ac:dyDescent="0.3">
      <c r="A1225">
        <v>1224</v>
      </c>
      <c r="B1225" s="1">
        <v>46056.3769791667</v>
      </c>
      <c r="C1225" s="1">
        <v>46056.377175925903</v>
      </c>
      <c r="D1225" t="s">
        <v>17</v>
      </c>
      <c r="E1225" t="s">
        <v>497</v>
      </c>
      <c r="F1225">
        <v>14135</v>
      </c>
      <c r="G1225" t="str">
        <f>VLOOKUP(F1225,Produtos!A:B,2,FALSE)</f>
        <v>BUDWEISER LT 473ML SIX-PACK SH C/2 NPAL</v>
      </c>
      <c r="H1225" t="s">
        <v>499</v>
      </c>
      <c r="I122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5" s="9" t="s">
        <v>496</v>
      </c>
      <c r="K1225" t="s">
        <v>510</v>
      </c>
    </row>
    <row r="1226" spans="1:11" x14ac:dyDescent="0.3">
      <c r="A1226">
        <v>1225</v>
      </c>
      <c r="B1226" s="1">
        <v>46056.378796296303</v>
      </c>
      <c r="C1226" s="1">
        <v>46056.379074074102</v>
      </c>
      <c r="D1226" t="s">
        <v>17</v>
      </c>
      <c r="E1226" t="s">
        <v>497</v>
      </c>
      <c r="F1226">
        <v>34027</v>
      </c>
      <c r="G1226" t="str">
        <f>VLOOKUP(F1226,Produtos!A:B,2,FALSE)</f>
        <v>GUARANA CHP ANT LATA 350ML SH C/12 MP</v>
      </c>
      <c r="H1226" t="s">
        <v>499</v>
      </c>
      <c r="I122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6" s="9" t="s">
        <v>496</v>
      </c>
      <c r="K1226" t="s">
        <v>510</v>
      </c>
    </row>
    <row r="1227" spans="1:11" x14ac:dyDescent="0.3">
      <c r="A1227">
        <v>1226</v>
      </c>
      <c r="B1227" s="1">
        <v>46057.799016203702</v>
      </c>
      <c r="C1227" s="1">
        <v>46057.801192129598</v>
      </c>
      <c r="D1227" t="s">
        <v>31</v>
      </c>
      <c r="E1227" t="s">
        <v>496</v>
      </c>
      <c r="F1227">
        <v>2008</v>
      </c>
      <c r="G1227" t="str">
        <f>VLOOKUP(F1227,Produtos!A:B,2,FALSE)</f>
        <v>ANTARCTICA SUBZERO LT 350ML SH C/12 NPAL</v>
      </c>
      <c r="H1227" t="s">
        <v>499</v>
      </c>
      <c r="I122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7" s="9" t="s">
        <v>496</v>
      </c>
      <c r="K1227" t="str">
        <f>VLOOKUP(Table1[[#This Row],[Nome do avaliador ]],M:N,2,0)</f>
        <v>B</v>
      </c>
    </row>
    <row r="1228" spans="1:11" x14ac:dyDescent="0.3">
      <c r="A1228">
        <v>1227</v>
      </c>
      <c r="B1228" s="1">
        <v>46057.801261574103</v>
      </c>
      <c r="C1228" s="1">
        <v>46057.805150462998</v>
      </c>
      <c r="D1228" t="s">
        <v>31</v>
      </c>
      <c r="E1228" t="s">
        <v>496</v>
      </c>
      <c r="F1228">
        <v>33820</v>
      </c>
      <c r="G1228" t="e">
        <f>VLOOKUP(F1228,Produtos!A:B,2,FALSE)</f>
        <v>#N/A</v>
      </c>
      <c r="H1228" t="s">
        <v>499</v>
      </c>
      <c r="I122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8" s="9" t="s">
        <v>496</v>
      </c>
      <c r="K1228" t="str">
        <f>VLOOKUP(Table1[[#This Row],[Nome do avaliador ]],M:N,2,0)</f>
        <v>B</v>
      </c>
    </row>
    <row r="1229" spans="1:11" x14ac:dyDescent="0.3">
      <c r="A1229">
        <v>1228</v>
      </c>
      <c r="B1229" s="1">
        <v>46059.426122685203</v>
      </c>
      <c r="C1229" s="1">
        <v>46059.426400463002</v>
      </c>
      <c r="D1229" t="s">
        <v>17</v>
      </c>
      <c r="E1229" t="s">
        <v>497</v>
      </c>
      <c r="F1229">
        <v>21441</v>
      </c>
      <c r="G1229" t="str">
        <f>VLOOKUP(F1229,Produtos!A:B,2,FALSE)</f>
        <v>SUKITA LIMAO PET 2L CAIXA C/6</v>
      </c>
      <c r="H1229" t="s">
        <v>499</v>
      </c>
      <c r="I122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9" s="9" t="s">
        <v>496</v>
      </c>
      <c r="K1229" t="s">
        <v>510</v>
      </c>
    </row>
    <row r="1230" spans="1:11" x14ac:dyDescent="0.3">
      <c r="A1230">
        <v>1229</v>
      </c>
      <c r="B1230" s="1">
        <v>46059.427002314798</v>
      </c>
      <c r="C1230" s="1">
        <v>46059.427175925899</v>
      </c>
      <c r="D1230" t="s">
        <v>17</v>
      </c>
      <c r="E1230" t="s">
        <v>497</v>
      </c>
      <c r="F1230">
        <v>9083</v>
      </c>
      <c r="G1230" t="str">
        <f>VLOOKUP(F1230,Produtos!A:B,2,FALSE)</f>
        <v>SKOL LT 473ML SH C/12 NPAL</v>
      </c>
      <c r="H1230" t="s">
        <v>499</v>
      </c>
      <c r="I123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0" s="9" t="s">
        <v>496</v>
      </c>
      <c r="K1230" t="s">
        <v>510</v>
      </c>
    </row>
    <row r="1231" spans="1:11" x14ac:dyDescent="0.3">
      <c r="A1231">
        <v>1230</v>
      </c>
      <c r="B1231" s="1">
        <v>46059.427893518499</v>
      </c>
      <c r="C1231" s="1">
        <v>46059.4280671296</v>
      </c>
      <c r="D1231" t="s">
        <v>17</v>
      </c>
      <c r="E1231" t="s">
        <v>497</v>
      </c>
      <c r="F1231">
        <v>20651</v>
      </c>
      <c r="G1231" t="str">
        <f>VLOOKUP(F1231,Produtos!A:B,2,FALSE)</f>
        <v>CORONA N LT SLEEK 350ML CX 8</v>
      </c>
      <c r="H1231" t="s">
        <v>499</v>
      </c>
      <c r="I123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1" s="9" t="s">
        <v>496</v>
      </c>
      <c r="K1231" t="s">
        <v>510</v>
      </c>
    </row>
    <row r="1232" spans="1:11" x14ac:dyDescent="0.3">
      <c r="A1232">
        <v>1231</v>
      </c>
      <c r="B1232" s="1">
        <v>46059.8530439815</v>
      </c>
      <c r="C1232" s="1">
        <v>46059.853437500002</v>
      </c>
      <c r="D1232" t="s">
        <v>38</v>
      </c>
      <c r="E1232" t="s">
        <v>496</v>
      </c>
      <c r="F1232">
        <v>9084</v>
      </c>
      <c r="G1232" t="str">
        <f>VLOOKUP(F1232,Produtos!A:B,2,FALSE)</f>
        <v>GUARANA CHP ANTARCT LT350ML SH C/12 NPAL</v>
      </c>
      <c r="H1232" t="s">
        <v>500</v>
      </c>
      <c r="I123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2" s="9" t="s">
        <v>496</v>
      </c>
      <c r="K1232" t="str">
        <f>VLOOKUP(Table1[[#This Row],[Nome do avaliador ]],M:N,2,0)</f>
        <v>B</v>
      </c>
    </row>
    <row r="1233" spans="1:11" x14ac:dyDescent="0.3">
      <c r="A1233">
        <v>1232</v>
      </c>
      <c r="B1233" s="1">
        <v>46059.854641203703</v>
      </c>
      <c r="C1233" s="1">
        <v>46059.855011574102</v>
      </c>
      <c r="D1233" t="s">
        <v>38</v>
      </c>
      <c r="E1233" t="s">
        <v>496</v>
      </c>
      <c r="F1233">
        <v>18341</v>
      </c>
      <c r="G1233" t="str">
        <f>VLOOKUP(F1233,Produtos!A:B,2,FALSE)</f>
        <v>PEPSI COLA PET 3000 ML C/04 SH LISO.</v>
      </c>
      <c r="H1233" t="s">
        <v>498</v>
      </c>
      <c r="I123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3" s="9" t="s">
        <v>496</v>
      </c>
      <c r="K1233" t="str">
        <f>VLOOKUP(Table1[[#This Row],[Nome do avaliador ]],M:N,2,0)</f>
        <v>B</v>
      </c>
    </row>
    <row r="1234" spans="1:11" x14ac:dyDescent="0.3">
      <c r="A1234">
        <v>1233</v>
      </c>
      <c r="B1234" s="1">
        <v>46059.856863425899</v>
      </c>
      <c r="C1234" s="1">
        <v>46059.857233796298</v>
      </c>
      <c r="D1234" t="s">
        <v>38</v>
      </c>
      <c r="E1234" t="s">
        <v>496</v>
      </c>
      <c r="F1234">
        <v>21668</v>
      </c>
      <c r="G1234" t="str">
        <f>VLOOKUP(F1234,Produtos!A:B,2,FALSE)</f>
        <v>SPATEN N ONE WAY 600ML CX C/12 NP ARTE</v>
      </c>
      <c r="H1234" t="s">
        <v>501</v>
      </c>
      <c r="I123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4" s="9" t="s">
        <v>496</v>
      </c>
      <c r="K1234" t="str">
        <f>VLOOKUP(Table1[[#This Row],[Nome do avaliador ]],M:N,2,0)</f>
        <v>B</v>
      </c>
    </row>
    <row r="1235" spans="1:11" x14ac:dyDescent="0.3">
      <c r="A1235">
        <v>1234</v>
      </c>
      <c r="B1235" s="1">
        <v>46059.8582523148</v>
      </c>
      <c r="C1235" s="1">
        <v>46059.858599537001</v>
      </c>
      <c r="D1235" t="s">
        <v>38</v>
      </c>
      <c r="E1235" t="s">
        <v>496</v>
      </c>
      <c r="F1235">
        <v>9096</v>
      </c>
      <c r="G1235" t="str">
        <f>VLOOKUP(F1235,Produtos!A:B,2,FALSE)</f>
        <v>PEPSI COLA LATA 350ML SH C/12 NPAL</v>
      </c>
      <c r="H1235" t="s">
        <v>476</v>
      </c>
      <c r="I123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5" s="9" t="s">
        <v>496</v>
      </c>
      <c r="K1235" t="str">
        <f>VLOOKUP(Table1[[#This Row],[Nome do avaliador ]],M:N,2,0)</f>
        <v>B</v>
      </c>
    </row>
    <row r="1236" spans="1:11" x14ac:dyDescent="0.3">
      <c r="A1236">
        <v>1235</v>
      </c>
      <c r="B1236" s="1">
        <v>46059.859664351803</v>
      </c>
      <c r="C1236" s="1">
        <v>46059.859976851803</v>
      </c>
      <c r="D1236" t="s">
        <v>38</v>
      </c>
      <c r="E1236" t="s">
        <v>496</v>
      </c>
      <c r="F1236">
        <v>18341</v>
      </c>
      <c r="G1236" t="str">
        <f>VLOOKUP(F1236,Produtos!A:B,2,FALSE)</f>
        <v>PEPSI COLA PET 3000 ML C/04 SH LISO.</v>
      </c>
      <c r="H1236" t="s">
        <v>500</v>
      </c>
      <c r="I123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6" s="9" t="s">
        <v>496</v>
      </c>
      <c r="K1236" t="str">
        <f>VLOOKUP(Table1[[#This Row],[Nome do avaliador ]],M:N,2,0)</f>
        <v>B</v>
      </c>
    </row>
    <row r="1237" spans="1:11" x14ac:dyDescent="0.3">
      <c r="A1237">
        <v>1236</v>
      </c>
      <c r="B1237" s="1">
        <v>46059.860821759299</v>
      </c>
      <c r="C1237" s="1">
        <v>46059.861122685201</v>
      </c>
      <c r="D1237" t="s">
        <v>38</v>
      </c>
      <c r="E1237" t="s">
        <v>496</v>
      </c>
      <c r="F1237">
        <v>18137</v>
      </c>
      <c r="G1237" t="str">
        <f>VLOOKUP(F1237,Produtos!A:B,2,FALSE)</f>
        <v>GUARANA CHP ANTARCTICA PET 3L C4 SH LISO</v>
      </c>
      <c r="H1237" t="s">
        <v>500</v>
      </c>
      <c r="I123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7" s="9" t="s">
        <v>496</v>
      </c>
      <c r="K1237" t="str">
        <f>VLOOKUP(Table1[[#This Row],[Nome do avaliador ]],M:N,2,0)</f>
        <v>B</v>
      </c>
    </row>
    <row r="1238" spans="1:11" x14ac:dyDescent="0.3">
      <c r="A1238">
        <v>1237</v>
      </c>
      <c r="B1238" s="1">
        <v>46059.862858796303</v>
      </c>
      <c r="C1238" s="1">
        <v>46059.863182870402</v>
      </c>
      <c r="D1238" t="s">
        <v>38</v>
      </c>
      <c r="E1238" t="s">
        <v>496</v>
      </c>
      <c r="F1238">
        <v>504</v>
      </c>
      <c r="G1238" t="str">
        <f>VLOOKUP(F1238,Produtos!A:B,2,FALSE)</f>
        <v>PEPSI COLA PET 2L CAIXA C/6</v>
      </c>
      <c r="H1238" t="s">
        <v>498</v>
      </c>
      <c r="I123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8" s="9" t="s">
        <v>496</v>
      </c>
      <c r="K1238" t="str">
        <f>VLOOKUP(Table1[[#This Row],[Nome do avaliador ]],M:N,2,0)</f>
        <v>B</v>
      </c>
    </row>
    <row r="1239" spans="1:11" x14ac:dyDescent="0.3">
      <c r="A1239">
        <v>1238</v>
      </c>
      <c r="B1239" s="1">
        <v>46060.422349537002</v>
      </c>
      <c r="C1239" s="1">
        <v>46060.425844907397</v>
      </c>
      <c r="D1239" t="s">
        <v>7</v>
      </c>
      <c r="E1239" t="s">
        <v>497</v>
      </c>
      <c r="F1239">
        <v>9067</v>
      </c>
      <c r="G1239" t="str">
        <f>VLOOKUP(F1239,Produtos!A:B,2,FALSE)</f>
        <v>ANTARCTICA PILSEN LATA 350ML SH C/12 NPA</v>
      </c>
      <c r="H1239" t="s">
        <v>500</v>
      </c>
      <c r="I123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9" s="9" t="s">
        <v>496</v>
      </c>
      <c r="K1239" t="str">
        <f>VLOOKUP(Table1[[#This Row],[Nome do avaliador ]],M:N,2,0)</f>
        <v>A</v>
      </c>
    </row>
    <row r="1240" spans="1:11" x14ac:dyDescent="0.3">
      <c r="A1240">
        <v>1239</v>
      </c>
      <c r="B1240" s="1">
        <v>46060.425960648099</v>
      </c>
      <c r="C1240" s="1">
        <v>46060.427152777796</v>
      </c>
      <c r="D1240" t="s">
        <v>7</v>
      </c>
      <c r="E1240" t="s">
        <v>497</v>
      </c>
      <c r="F1240">
        <v>9069</v>
      </c>
      <c r="G1240" t="str">
        <f>VLOOKUP(F1240,Produtos!A:B,2,FALSE)</f>
        <v>BRAHMA CHOPP LATA 350ML SH C/12 NPAL</v>
      </c>
      <c r="H1240" t="s">
        <v>499</v>
      </c>
      <c r="I124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0" s="9" t="s">
        <v>496</v>
      </c>
      <c r="K1240" t="str">
        <f>VLOOKUP(Table1[[#This Row],[Nome do avaliador ]],M:N,2,0)</f>
        <v>A</v>
      </c>
    </row>
    <row r="1241" spans="1:11" x14ac:dyDescent="0.3">
      <c r="A1241">
        <v>1240</v>
      </c>
      <c r="B1241" s="1">
        <v>46060.427372685197</v>
      </c>
      <c r="C1241" s="1">
        <v>46060.428587962997</v>
      </c>
      <c r="D1241" t="s">
        <v>28</v>
      </c>
      <c r="E1241" t="s">
        <v>497</v>
      </c>
      <c r="F1241">
        <v>504</v>
      </c>
      <c r="G1241" t="str">
        <f>VLOOKUP(F1241,Produtos!A:B,2,FALSE)</f>
        <v>PEPSI COLA PET 2L CAIXA C/6</v>
      </c>
      <c r="H1241" t="s">
        <v>501</v>
      </c>
      <c r="I124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1" s="9" t="s">
        <v>496</v>
      </c>
      <c r="K1241" t="str">
        <f>VLOOKUP(Table1[[#This Row],[Nome do avaliador ]],M:N,2,0)</f>
        <v>A</v>
      </c>
    </row>
    <row r="1242" spans="1:11" x14ac:dyDescent="0.3">
      <c r="A1242">
        <v>1241</v>
      </c>
      <c r="B1242" s="1">
        <v>46060.427719907399</v>
      </c>
      <c r="C1242" s="1">
        <v>46060.428773148102</v>
      </c>
      <c r="D1242" t="s">
        <v>7</v>
      </c>
      <c r="E1242" t="s">
        <v>497</v>
      </c>
      <c r="F1242">
        <v>34027</v>
      </c>
      <c r="G1242" t="str">
        <f>VLOOKUP(F1242,Produtos!A:B,2,FALSE)</f>
        <v>GUARANA CHP ANT LATA 350ML SH C/12 MP</v>
      </c>
      <c r="H1242" t="s">
        <v>499</v>
      </c>
      <c r="I124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2" s="9" t="s">
        <v>496</v>
      </c>
      <c r="K1242" t="str">
        <f>VLOOKUP(Table1[[#This Row],[Nome do avaliador ]],M:N,2,0)</f>
        <v>A</v>
      </c>
    </row>
    <row r="1243" spans="1:11" x14ac:dyDescent="0.3">
      <c r="A1243">
        <v>1242</v>
      </c>
      <c r="B1243" s="1">
        <v>46060.428842592599</v>
      </c>
      <c r="C1243" s="1">
        <v>46060.429201388899</v>
      </c>
      <c r="D1243" t="s">
        <v>7</v>
      </c>
      <c r="E1243" t="s">
        <v>497</v>
      </c>
      <c r="F1243">
        <v>34027</v>
      </c>
      <c r="G1243" t="str">
        <f>VLOOKUP(F1243,Produtos!A:B,2,FALSE)</f>
        <v>GUARANA CHP ANT LATA 350ML SH C/12 MP</v>
      </c>
      <c r="H1243" t="s">
        <v>500</v>
      </c>
      <c r="I124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3" s="9" t="s">
        <v>496</v>
      </c>
      <c r="K1243" t="str">
        <f>VLOOKUP(Table1[[#This Row],[Nome do avaliador ]],M:N,2,0)</f>
        <v>A</v>
      </c>
    </row>
    <row r="1244" spans="1:11" x14ac:dyDescent="0.3">
      <c r="A1244">
        <v>1243</v>
      </c>
      <c r="B1244" s="1">
        <v>46060.429224537002</v>
      </c>
      <c r="C1244" s="1">
        <v>46060.429293981499</v>
      </c>
      <c r="D1244" t="s">
        <v>28</v>
      </c>
      <c r="E1244" t="s">
        <v>497</v>
      </c>
      <c r="F1244">
        <v>504</v>
      </c>
      <c r="G1244" t="str">
        <f>VLOOKUP(F1244,Produtos!A:B,2,FALSE)</f>
        <v>PEPSI COLA PET 2L CAIXA C/6</v>
      </c>
      <c r="H1244" t="s">
        <v>501</v>
      </c>
      <c r="I124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4" s="9" t="s">
        <v>496</v>
      </c>
      <c r="K1244" t="str">
        <f>VLOOKUP(Table1[[#This Row],[Nome do avaliador ]],M:N,2,0)</f>
        <v>A</v>
      </c>
    </row>
    <row r="1245" spans="1:11" x14ac:dyDescent="0.3">
      <c r="A1245">
        <v>1244</v>
      </c>
      <c r="B1245" s="1">
        <v>46060.4304976852</v>
      </c>
      <c r="C1245" s="1">
        <v>46060.430740740703</v>
      </c>
      <c r="D1245" t="s">
        <v>28</v>
      </c>
      <c r="E1245" t="s">
        <v>497</v>
      </c>
      <c r="F1245">
        <v>504</v>
      </c>
      <c r="G1245" t="str">
        <f>VLOOKUP(F1245,Produtos!A:B,2,FALSE)</f>
        <v>PEPSI COLA PET 2L CAIXA C/6</v>
      </c>
      <c r="H1245" t="s">
        <v>501</v>
      </c>
      <c r="I124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5" s="9" t="s">
        <v>496</v>
      </c>
      <c r="K1245" t="str">
        <f>VLOOKUP(Table1[[#This Row],[Nome do avaliador ]],M:N,2,0)</f>
        <v>A</v>
      </c>
    </row>
    <row r="1246" spans="1:11" x14ac:dyDescent="0.3">
      <c r="A1246">
        <v>1245</v>
      </c>
      <c r="B1246" s="1">
        <v>46060.431724536997</v>
      </c>
      <c r="C1246" s="1">
        <v>46060.432106481501</v>
      </c>
      <c r="D1246" t="s">
        <v>28</v>
      </c>
      <c r="E1246" t="s">
        <v>497</v>
      </c>
      <c r="F1246">
        <v>9069</v>
      </c>
      <c r="G1246" t="str">
        <f>VLOOKUP(F1246,Produtos!A:B,2,FALSE)</f>
        <v>BRAHMA CHOPP LATA 350ML SH C/12 NPAL</v>
      </c>
      <c r="H1246" t="s">
        <v>499</v>
      </c>
      <c r="I124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6" s="9" t="s">
        <v>496</v>
      </c>
      <c r="K1246" t="str">
        <f>VLOOKUP(Table1[[#This Row],[Nome do avaliador ]],M:N,2,0)</f>
        <v>A</v>
      </c>
    </row>
    <row r="1247" spans="1:11" x14ac:dyDescent="0.3">
      <c r="A1247">
        <v>1246</v>
      </c>
      <c r="B1247" s="1">
        <v>46063.643495370401</v>
      </c>
      <c r="C1247" s="1">
        <v>46063.644201388903</v>
      </c>
      <c r="D1247" t="s">
        <v>35</v>
      </c>
      <c r="E1247" t="s">
        <v>496</v>
      </c>
      <c r="F1247">
        <v>503</v>
      </c>
      <c r="G1247" t="str">
        <f>VLOOKUP(F1247,Produtos!A:B,2,FALSE)</f>
        <v>SUKITA PET 2L CAIXA C/6</v>
      </c>
      <c r="H1247" t="s">
        <v>488</v>
      </c>
      <c r="I124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7" s="9" t="s">
        <v>496</v>
      </c>
      <c r="K1247" t="str">
        <f>VLOOKUP(Table1[[#This Row],[Nome do avaliador ]],M:N,2,0)</f>
        <v>B</v>
      </c>
    </row>
    <row r="1248" spans="1:11" x14ac:dyDescent="0.3">
      <c r="A1248">
        <v>1247</v>
      </c>
      <c r="B1248" s="1">
        <v>46063.644259259301</v>
      </c>
      <c r="C1248" s="1">
        <v>46063.6488888889</v>
      </c>
      <c r="D1248" t="s">
        <v>35</v>
      </c>
      <c r="E1248" t="s">
        <v>496</v>
      </c>
      <c r="F1248">
        <v>2546</v>
      </c>
      <c r="G1248" t="str">
        <f>VLOOKUP(F1248,Produtos!A:B,2,FALSE)</f>
        <v>ORIGINAL 600ML</v>
      </c>
      <c r="H1248" t="s">
        <v>501</v>
      </c>
      <c r="I124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8" s="9" t="s">
        <v>496</v>
      </c>
      <c r="K1248" t="str">
        <f>VLOOKUP(Table1[[#This Row],[Nome do avaliador ]],M:N,2,0)</f>
        <v>B</v>
      </c>
    </row>
    <row r="1249" spans="1:11" x14ac:dyDescent="0.3">
      <c r="A1249">
        <v>1248</v>
      </c>
      <c r="B1249" s="1">
        <v>46063.652453703697</v>
      </c>
      <c r="C1249" s="1">
        <v>46063.653252314798</v>
      </c>
      <c r="D1249" t="s">
        <v>35</v>
      </c>
      <c r="E1249" t="s">
        <v>496</v>
      </c>
      <c r="F1249">
        <v>18341</v>
      </c>
      <c r="G1249" t="str">
        <f>VLOOKUP(F1249,Produtos!A:B,2,FALSE)</f>
        <v>PEPSI COLA PET 3000 ML C/04 SH LISO.</v>
      </c>
      <c r="H1249" t="s">
        <v>501</v>
      </c>
      <c r="I124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9" s="9" t="s">
        <v>496</v>
      </c>
      <c r="K1249" t="str">
        <f>VLOOKUP(Table1[[#This Row],[Nome do avaliador ]],M:N,2,0)</f>
        <v>B</v>
      </c>
    </row>
    <row r="1250" spans="1:11" x14ac:dyDescent="0.3">
      <c r="A1250">
        <v>1249</v>
      </c>
      <c r="B1250" s="1">
        <v>46063.671099537001</v>
      </c>
      <c r="C1250" s="1">
        <v>46063.676666666703</v>
      </c>
      <c r="D1250" t="s">
        <v>31</v>
      </c>
      <c r="E1250" t="s">
        <v>15</v>
      </c>
      <c r="F1250">
        <v>32349</v>
      </c>
      <c r="G1250" t="str">
        <f>VLOOKUP(F1250,Produtos!A:B,2,FALSE)</f>
        <v>BEATS TROPICAL LT 269ML CX CARTAO C/8 NP</v>
      </c>
      <c r="H1250" t="s">
        <v>501</v>
      </c>
      <c r="I125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0" s="9" t="str">
        <f>VLOOKUP(Table1[[#This Row],[Área avaliada]],Endereços!A:B,2,0)</f>
        <v>Picking Alto Giro</v>
      </c>
      <c r="K1250" t="str">
        <f>VLOOKUP(Table1[[#This Row],[Nome do avaliador ]],M:N,2,0)</f>
        <v>B</v>
      </c>
    </row>
    <row r="1251" spans="1:11" x14ac:dyDescent="0.3">
      <c r="A1251">
        <v>1250</v>
      </c>
      <c r="B1251" s="1">
        <v>46063.683182870402</v>
      </c>
      <c r="C1251" s="1">
        <v>46063.690613425897</v>
      </c>
      <c r="D1251" t="s">
        <v>38</v>
      </c>
      <c r="E1251" t="s">
        <v>14</v>
      </c>
      <c r="F1251">
        <v>20217</v>
      </c>
      <c r="G1251" t="str">
        <f>VLOOKUP(F1251,Produtos!A:B,2,FALSE)</f>
        <v>ORIGINAL GFA VD 300ML CX C/23</v>
      </c>
      <c r="H1251" t="s">
        <v>501</v>
      </c>
      <c r="I125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1" s="9" t="str">
        <f>VLOOKUP(Table1[[#This Row],[Área avaliada]],Endereços!A:B,2,0)</f>
        <v>Picking Baixo Giro</v>
      </c>
      <c r="K1251" t="str">
        <f>VLOOKUP(Table1[[#This Row],[Nome do avaliador ]],M:N,2,0)</f>
        <v>B</v>
      </c>
    </row>
    <row r="1252" spans="1:11" x14ac:dyDescent="0.3">
      <c r="A1252">
        <v>1251</v>
      </c>
      <c r="B1252" s="1">
        <v>46063.691400463002</v>
      </c>
      <c r="C1252" s="1">
        <v>46063.691793981503</v>
      </c>
      <c r="D1252" t="s">
        <v>38</v>
      </c>
      <c r="E1252" t="s">
        <v>14</v>
      </c>
      <c r="F1252">
        <v>20329</v>
      </c>
      <c r="G1252" t="str">
        <f>VLOOKUP(F1252,Produtos!A:B,2,FALSE)</f>
        <v>BRAHMA DUPLO MALTE 600ML</v>
      </c>
      <c r="H1252" t="s">
        <v>501</v>
      </c>
      <c r="I125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2" s="9" t="str">
        <f>VLOOKUP(Table1[[#This Row],[Área avaliada]],Endereços!A:B,2,0)</f>
        <v>Picking Baixo Giro</v>
      </c>
      <c r="K1252" t="str">
        <f>VLOOKUP(Table1[[#This Row],[Nome do avaliador ]],M:N,2,0)</f>
        <v>B</v>
      </c>
    </row>
    <row r="1253" spans="1:11" x14ac:dyDescent="0.3">
      <c r="A1253">
        <v>1252</v>
      </c>
      <c r="B1253" s="1">
        <v>46063.6933796296</v>
      </c>
      <c r="C1253" s="1">
        <v>46063.693749999999</v>
      </c>
      <c r="D1253" t="s">
        <v>38</v>
      </c>
      <c r="E1253" t="s">
        <v>14</v>
      </c>
      <c r="F1253">
        <v>32500</v>
      </c>
      <c r="G1253" t="str">
        <f>VLOOKUP(F1253,Produtos!A:B,2,FALSE)</f>
        <v>STELLA ART PUR GOLD LT SL 350ML C8 CX CT</v>
      </c>
      <c r="H1253" t="s">
        <v>501</v>
      </c>
      <c r="I125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3" s="9" t="str">
        <f>VLOOKUP(Table1[[#This Row],[Área avaliada]],Endereços!A:B,2,0)</f>
        <v>Picking Baixo Giro</v>
      </c>
      <c r="K1253" t="str">
        <f>VLOOKUP(Table1[[#This Row],[Nome do avaliador ]],M:N,2,0)</f>
        <v>B</v>
      </c>
    </row>
    <row r="1254" spans="1:11" x14ac:dyDescent="0.3">
      <c r="A1254">
        <v>1253</v>
      </c>
      <c r="B1254" s="1">
        <v>46063.697442129604</v>
      </c>
      <c r="C1254" s="1">
        <v>46063.6977430556</v>
      </c>
      <c r="D1254" t="s">
        <v>38</v>
      </c>
      <c r="E1254" t="s">
        <v>15</v>
      </c>
      <c r="F1254">
        <v>29991</v>
      </c>
      <c r="G1254" t="str">
        <f>VLOOKUP(F1254,Produtos!A:B,2,FALSE)</f>
        <v>SKOL BEATS SENSES LN 269ML SXP SH C/2</v>
      </c>
      <c r="H1254" t="s">
        <v>501</v>
      </c>
      <c r="I125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4" s="9" t="str">
        <f>VLOOKUP(Table1[[#This Row],[Área avaliada]],Endereços!A:B,2,0)</f>
        <v>Picking Alto Giro</v>
      </c>
      <c r="K1254" t="str">
        <f>VLOOKUP(Table1[[#This Row],[Nome do avaliador ]],M:N,2,0)</f>
        <v>B</v>
      </c>
    </row>
    <row r="1255" spans="1:11" x14ac:dyDescent="0.3">
      <c r="A1255">
        <v>1254</v>
      </c>
      <c r="B1255" s="1">
        <v>46063.698344907403</v>
      </c>
      <c r="C1255" s="1">
        <v>46063.698657407404</v>
      </c>
      <c r="D1255" t="s">
        <v>38</v>
      </c>
      <c r="E1255" t="s">
        <v>14</v>
      </c>
      <c r="F1255">
        <v>14340</v>
      </c>
      <c r="G1255" t="str">
        <f>VLOOKUP(F1255,Produtos!A:B,2,FALSE)</f>
        <v>ORIGINAL ONE WAY 300ML CX PAPELAO C/12</v>
      </c>
      <c r="H1255" t="s">
        <v>501</v>
      </c>
      <c r="I125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5" s="9" t="str">
        <f>VLOOKUP(Table1[[#This Row],[Área avaliada]],Endereços!A:B,2,0)</f>
        <v>Picking Baixo Giro</v>
      </c>
      <c r="K1255" t="str">
        <f>VLOOKUP(Table1[[#This Row],[Nome do avaliador ]],M:N,2,0)</f>
        <v>B</v>
      </c>
    </row>
    <row r="1256" spans="1:11" x14ac:dyDescent="0.3">
      <c r="A1256">
        <v>1255</v>
      </c>
      <c r="B1256" s="1">
        <v>46064.367812500001</v>
      </c>
      <c r="C1256" s="1">
        <v>46064.368020833303</v>
      </c>
      <c r="D1256" t="s">
        <v>17</v>
      </c>
      <c r="E1256" t="s">
        <v>497</v>
      </c>
      <c r="F1256">
        <v>21020</v>
      </c>
      <c r="G1256" t="str">
        <f>VLOOKUP(F1256,Produtos!A:B,2,FALSE)</f>
        <v>BUDWEISER LT SLEEK 350ML CX CART C12</v>
      </c>
      <c r="H1256" t="s">
        <v>499</v>
      </c>
      <c r="I125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6" s="9" t="s">
        <v>496</v>
      </c>
      <c r="K1256" t="s">
        <v>510</v>
      </c>
    </row>
    <row r="1257" spans="1:11" x14ac:dyDescent="0.3">
      <c r="A1257">
        <v>1256</v>
      </c>
      <c r="B1257" s="1">
        <v>46064.373287037</v>
      </c>
      <c r="C1257" s="1">
        <v>46064.373530092598</v>
      </c>
      <c r="D1257" t="s">
        <v>17</v>
      </c>
      <c r="E1257" t="s">
        <v>497</v>
      </c>
      <c r="F1257">
        <v>9069</v>
      </c>
      <c r="G1257" t="str">
        <f>VLOOKUP(F1257,Produtos!A:B,2,FALSE)</f>
        <v>BRAHMA CHOPP LATA 350ML SH C/12 NPAL</v>
      </c>
      <c r="H1257" t="s">
        <v>499</v>
      </c>
      <c r="I125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7" s="9" t="s">
        <v>496</v>
      </c>
      <c r="K1257" t="s">
        <v>510</v>
      </c>
    </row>
    <row r="1258" spans="1:11" x14ac:dyDescent="0.3">
      <c r="A1258">
        <v>1257</v>
      </c>
      <c r="B1258" s="1">
        <v>46067.255289351902</v>
      </c>
      <c r="C1258" s="1">
        <v>46067.255486111098</v>
      </c>
      <c r="D1258" t="s">
        <v>17</v>
      </c>
      <c r="E1258" t="s">
        <v>497</v>
      </c>
      <c r="F1258">
        <v>33734</v>
      </c>
      <c r="G1258" t="str">
        <f>VLOOKUP(F1258,Produtos!A:B,2,FALSE)</f>
        <v>BEATS RED MIX LT 269ML SH C/8</v>
      </c>
      <c r="H1258" t="s">
        <v>499</v>
      </c>
      <c r="I125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8" s="9" t="s">
        <v>496</v>
      </c>
      <c r="K1258" t="s">
        <v>510</v>
      </c>
    </row>
    <row r="1259" spans="1:11" x14ac:dyDescent="0.3">
      <c r="A1259">
        <v>1258</v>
      </c>
      <c r="B1259" s="1">
        <v>46067.257175925901</v>
      </c>
      <c r="C1259" s="1">
        <v>46067.2574074074</v>
      </c>
      <c r="D1259" t="s">
        <v>17</v>
      </c>
      <c r="E1259" t="s">
        <v>497</v>
      </c>
      <c r="F1259">
        <v>22180</v>
      </c>
      <c r="G1259" t="str">
        <f>VLOOKUP(F1259,Produtos!A:B,2,FALSE)</f>
        <v>BUDWEISER ZERO LN 330ML SIX-PACK SH C/4</v>
      </c>
      <c r="H1259" t="s">
        <v>499</v>
      </c>
      <c r="I125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9" s="9" t="s">
        <v>496</v>
      </c>
      <c r="K1259" t="s">
        <v>510</v>
      </c>
    </row>
    <row r="1260" spans="1:11" x14ac:dyDescent="0.3">
      <c r="A1260">
        <v>1259</v>
      </c>
      <c r="B1260" s="1">
        <v>46067.259872685201</v>
      </c>
      <c r="C1260" s="1">
        <v>46067.260127314803</v>
      </c>
      <c r="D1260" t="s">
        <v>17</v>
      </c>
      <c r="E1260" t="s">
        <v>497</v>
      </c>
      <c r="F1260">
        <v>9320</v>
      </c>
      <c r="G1260" t="str">
        <f>VLOOKUP(F1260,Produtos!A:B,2,FALSE)</f>
        <v>BRAHMA CHOPP LT 473ML SH C/12 NPAL</v>
      </c>
      <c r="H1260" t="s">
        <v>499</v>
      </c>
      <c r="I126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0" s="9" t="s">
        <v>496</v>
      </c>
      <c r="K1260" t="s">
        <v>510</v>
      </c>
    </row>
    <row r="1261" spans="1:11" x14ac:dyDescent="0.3">
      <c r="A1261">
        <v>1260</v>
      </c>
      <c r="B1261" s="1">
        <v>46067.260775463001</v>
      </c>
      <c r="C1261" s="1">
        <v>46067.260972222197</v>
      </c>
      <c r="D1261" t="s">
        <v>17</v>
      </c>
      <c r="E1261" t="s">
        <v>497</v>
      </c>
      <c r="F1261">
        <v>34608</v>
      </c>
      <c r="G1261" t="str">
        <f>VLOOKUP(F1261,Produtos!A:B,2,FALSE)</f>
        <v>SKOL LATA 350ML SH C/12 MULTIPAK</v>
      </c>
      <c r="H1261" t="s">
        <v>499</v>
      </c>
      <c r="I126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1" s="9" t="s">
        <v>496</v>
      </c>
      <c r="K1261" t="s">
        <v>510</v>
      </c>
    </row>
    <row r="1262" spans="1:11" x14ac:dyDescent="0.3">
      <c r="A1262">
        <v>1261</v>
      </c>
      <c r="B1262" s="1">
        <v>46069.472928240699</v>
      </c>
      <c r="C1262" s="1">
        <v>46069.473148148099</v>
      </c>
      <c r="D1262" t="s">
        <v>17</v>
      </c>
      <c r="E1262" t="s">
        <v>497</v>
      </c>
      <c r="F1262">
        <v>9083</v>
      </c>
      <c r="G1262" t="str">
        <f>VLOOKUP(F1262,Produtos!A:B,2,FALSE)</f>
        <v>SKOL LT 473ML SH C/12 NPAL</v>
      </c>
      <c r="H1262" t="s">
        <v>499</v>
      </c>
      <c r="I126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2" s="9" t="s">
        <v>496</v>
      </c>
      <c r="K1262" t="s">
        <v>510</v>
      </c>
    </row>
    <row r="1263" spans="1:11" x14ac:dyDescent="0.3">
      <c r="A1263">
        <v>1262</v>
      </c>
      <c r="B1263" s="1">
        <v>46071.790243055599</v>
      </c>
      <c r="C1263" s="1">
        <v>46071.7974189815</v>
      </c>
      <c r="D1263" t="s">
        <v>35</v>
      </c>
      <c r="E1263" t="s">
        <v>496</v>
      </c>
      <c r="F1263">
        <v>503</v>
      </c>
      <c r="G1263" t="str">
        <f>VLOOKUP(F1263,Produtos!A:B,2,FALSE)</f>
        <v>SUKITA PET 2L CAIXA C/6</v>
      </c>
      <c r="H1263" t="s">
        <v>499</v>
      </c>
      <c r="I126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3" s="9" t="s">
        <v>496</v>
      </c>
      <c r="K1263" t="str">
        <f>VLOOKUP(Table1[[#This Row],[Nome do avaliador ]],M:N,2,0)</f>
        <v>B</v>
      </c>
    </row>
    <row r="1264" spans="1:11" x14ac:dyDescent="0.3">
      <c r="A1264">
        <v>1263</v>
      </c>
      <c r="B1264" s="1">
        <v>46071.801261574103</v>
      </c>
      <c r="C1264" s="1">
        <v>46071.801805555602</v>
      </c>
      <c r="D1264" t="s">
        <v>35</v>
      </c>
      <c r="E1264" t="s">
        <v>496</v>
      </c>
      <c r="F1264">
        <v>30942</v>
      </c>
      <c r="G1264" t="str">
        <f>VLOOKUP(F1264,Produtos!A:B,2,FALSE)</f>
        <v>SPATEN N LONG NECK 330ML SIX-PACK SH C4</v>
      </c>
      <c r="H1264" t="s">
        <v>499</v>
      </c>
      <c r="I126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4" s="9" t="s">
        <v>496</v>
      </c>
      <c r="K1264" t="str">
        <f>VLOOKUP(Table1[[#This Row],[Nome do avaliador ]],M:N,2,0)</f>
        <v>B</v>
      </c>
    </row>
    <row r="1265" spans="1:11" x14ac:dyDescent="0.3">
      <c r="A1265">
        <v>1264</v>
      </c>
      <c r="B1265" s="1">
        <v>46074.254328703697</v>
      </c>
      <c r="C1265" s="1">
        <v>46074.254606481503</v>
      </c>
      <c r="D1265" t="s">
        <v>17</v>
      </c>
      <c r="E1265" t="s">
        <v>496</v>
      </c>
      <c r="F1265">
        <v>35319</v>
      </c>
      <c r="G1265" t="e">
        <f>VLOOKUP(F1265,Produtos!A:B,2,FALSE)</f>
        <v>#N/A</v>
      </c>
      <c r="H1265" t="s">
        <v>499</v>
      </c>
      <c r="I126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5" s="9" t="s">
        <v>496</v>
      </c>
      <c r="K1265" t="s">
        <v>510</v>
      </c>
    </row>
    <row r="1266" spans="1:11" x14ac:dyDescent="0.3">
      <c r="A1266">
        <v>1265</v>
      </c>
      <c r="B1266" s="1">
        <v>46074.255138888897</v>
      </c>
      <c r="C1266" s="1">
        <v>46074.255370370403</v>
      </c>
      <c r="D1266" t="s">
        <v>17</v>
      </c>
      <c r="E1266" t="s">
        <v>496</v>
      </c>
      <c r="F1266">
        <v>9092</v>
      </c>
      <c r="G1266" t="str">
        <f>VLOOKUP(F1266,Produtos!A:B,2,FALSE)</f>
        <v>TONICA ANTARCTICA DIET LT350MLSHC/12 PAL</v>
      </c>
      <c r="H1266" t="s">
        <v>499</v>
      </c>
      <c r="I126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6" s="9" t="s">
        <v>496</v>
      </c>
      <c r="K1266" t="s">
        <v>510</v>
      </c>
    </row>
    <row r="1267" spans="1:11" x14ac:dyDescent="0.3">
      <c r="A1267">
        <v>1266</v>
      </c>
      <c r="B1267" s="1">
        <v>46074.257372685199</v>
      </c>
      <c r="C1267" s="1">
        <v>46074.257569444402</v>
      </c>
      <c r="D1267" t="s">
        <v>17</v>
      </c>
      <c r="E1267" t="s">
        <v>496</v>
      </c>
      <c r="F1267">
        <v>34608</v>
      </c>
      <c r="G1267" t="str">
        <f>VLOOKUP(F1267,Produtos!A:B,2,FALSE)</f>
        <v>SKOL LATA 350ML SH C/12 MULTIPAK</v>
      </c>
      <c r="H1267" t="s">
        <v>499</v>
      </c>
      <c r="I126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7" s="9" t="s">
        <v>496</v>
      </c>
      <c r="K1267" t="s">
        <v>510</v>
      </c>
    </row>
    <row r="1268" spans="1:11" x14ac:dyDescent="0.3">
      <c r="A1268">
        <v>1267</v>
      </c>
      <c r="B1268" s="1">
        <v>46074.259131944404</v>
      </c>
      <c r="C1268" s="1">
        <v>46074.259351851797</v>
      </c>
      <c r="D1268" t="s">
        <v>17</v>
      </c>
      <c r="E1268" t="s">
        <v>496</v>
      </c>
      <c r="F1268">
        <v>14135</v>
      </c>
      <c r="G1268" t="str">
        <f>VLOOKUP(F1268,Produtos!A:B,2,FALSE)</f>
        <v>BUDWEISER LT 473ML SIX-PACK SH C/2 NPAL</v>
      </c>
      <c r="H1268" t="s">
        <v>499</v>
      </c>
      <c r="I126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8" s="9" t="s">
        <v>496</v>
      </c>
      <c r="K1268" t="s">
        <v>510</v>
      </c>
    </row>
    <row r="1269" spans="1:11" x14ac:dyDescent="0.3">
      <c r="A1269">
        <v>1268</v>
      </c>
      <c r="B1269" s="1">
        <v>46078.6667592593</v>
      </c>
      <c r="C1269" s="1">
        <v>46078.668194444399</v>
      </c>
      <c r="D1269" t="s">
        <v>31</v>
      </c>
      <c r="E1269" t="s">
        <v>15</v>
      </c>
      <c r="F1269">
        <v>14135</v>
      </c>
      <c r="G1269" t="str">
        <f>VLOOKUP(F1269,Produtos!A:B,2,FALSE)</f>
        <v>BUDWEISER LT 473ML SIX-PACK SH C/2 NPAL</v>
      </c>
      <c r="H1269" t="s">
        <v>499</v>
      </c>
      <c r="I126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9" s="9" t="str">
        <f>VLOOKUP(Table1[[#This Row],[Área avaliada]],Endereços!A:B,2,0)</f>
        <v>Picking Alto Giro</v>
      </c>
      <c r="K1269" t="str">
        <f>VLOOKUP(Table1[[#This Row],[Nome do avaliador ]],M:N,2,0)</f>
        <v>B</v>
      </c>
    </row>
    <row r="1270" spans="1:11" x14ac:dyDescent="0.3">
      <c r="A1270">
        <v>1269</v>
      </c>
      <c r="B1270" s="1">
        <v>46086.6492013889</v>
      </c>
      <c r="C1270" s="1">
        <v>46086.651956018497</v>
      </c>
      <c r="D1270" t="s">
        <v>31</v>
      </c>
      <c r="E1270" t="s">
        <v>15</v>
      </c>
      <c r="F1270">
        <v>34608</v>
      </c>
      <c r="G1270" t="str">
        <f>VLOOKUP(F1270,Produtos!A:B,2,FALSE)</f>
        <v>SKOL LATA 350ML SH C/12 MULTIPAK</v>
      </c>
      <c r="H1270" t="s">
        <v>499</v>
      </c>
      <c r="I127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0" s="9" t="str">
        <f>VLOOKUP(Table1[[#This Row],[Área avaliada]],Endereços!A:B,2,0)</f>
        <v>Picking Alto Giro</v>
      </c>
      <c r="K1270" t="str">
        <f>VLOOKUP(Table1[[#This Row],[Nome do avaliador ]],M:N,2,0)</f>
        <v>B</v>
      </c>
    </row>
    <row r="1271" spans="1:11" x14ac:dyDescent="0.3">
      <c r="A1271">
        <v>1270</v>
      </c>
      <c r="B1271" s="1">
        <v>46086.652453703697</v>
      </c>
      <c r="C1271" s="1">
        <v>46086.652870370403</v>
      </c>
      <c r="D1271" t="s">
        <v>31</v>
      </c>
      <c r="E1271" t="s">
        <v>14</v>
      </c>
      <c r="G1271" t="e">
        <f>VLOOKUP(F1271,Produtos!A:B,2,FALSE)</f>
        <v>#N/A</v>
      </c>
      <c r="H1271" t="s">
        <v>499</v>
      </c>
      <c r="I127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1" s="9" t="str">
        <f>VLOOKUP(Table1[[#This Row],[Área avaliada]],Endereços!A:B,2,0)</f>
        <v>Picking Baixo Giro</v>
      </c>
      <c r="K1271" t="str">
        <f>VLOOKUP(Table1[[#This Row],[Nome do avaliador ]],M:N,2,0)</f>
        <v>B</v>
      </c>
    </row>
    <row r="1272" spans="1:11" x14ac:dyDescent="0.3">
      <c r="A1272">
        <v>1271</v>
      </c>
      <c r="B1272" s="1">
        <v>46087.473622685196</v>
      </c>
      <c r="C1272" s="1">
        <v>46087.473946759303</v>
      </c>
      <c r="D1272" t="s">
        <v>17</v>
      </c>
      <c r="E1272" t="s">
        <v>496</v>
      </c>
      <c r="F1272" s="2">
        <v>34608</v>
      </c>
      <c r="G1272" t="str">
        <f>VLOOKUP(F1272,Produtos!A:B,2,FALSE)</f>
        <v>SKOL LATA 350ML SH C/12 MULTIPAK</v>
      </c>
      <c r="H1272" t="s">
        <v>499</v>
      </c>
      <c r="I127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2" s="9" t="s">
        <v>496</v>
      </c>
      <c r="K1272" t="s">
        <v>510</v>
      </c>
    </row>
    <row r="1273" spans="1:11" x14ac:dyDescent="0.3">
      <c r="A1273">
        <v>1272</v>
      </c>
      <c r="B1273" s="1">
        <v>46087.474189814799</v>
      </c>
      <c r="C1273" s="1">
        <v>46087.474525463003</v>
      </c>
      <c r="D1273" t="s">
        <v>17</v>
      </c>
      <c r="E1273" t="s">
        <v>496</v>
      </c>
      <c r="F1273" s="2">
        <v>33734</v>
      </c>
      <c r="G1273" t="str">
        <f>VLOOKUP(F1273,Produtos!A:B,2,FALSE)</f>
        <v>BEATS RED MIX LT 269ML SH C/8</v>
      </c>
      <c r="H1273" t="s">
        <v>499</v>
      </c>
      <c r="I127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3" s="9" t="s">
        <v>496</v>
      </c>
      <c r="K1273" t="s">
        <v>510</v>
      </c>
    </row>
    <row r="1274" spans="1:11" x14ac:dyDescent="0.3">
      <c r="A1274">
        <v>1273</v>
      </c>
      <c r="B1274" s="1">
        <v>46087.475983796299</v>
      </c>
      <c r="C1274" s="1">
        <v>46087.476319444402</v>
      </c>
      <c r="D1274" t="s">
        <v>17</v>
      </c>
      <c r="E1274" t="s">
        <v>496</v>
      </c>
      <c r="F1274" s="2">
        <v>35319</v>
      </c>
      <c r="G1274" t="e">
        <f>VLOOKUP(F1274,Produtos!A:B,2,FALSE)</f>
        <v>#N/A</v>
      </c>
      <c r="H1274" t="s">
        <v>508</v>
      </c>
      <c r="I127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4" s="9" t="s">
        <v>496</v>
      </c>
      <c r="K1274" t="s">
        <v>510</v>
      </c>
    </row>
    <row r="1275" spans="1:11" x14ac:dyDescent="0.3">
      <c r="A1275">
        <v>1274</v>
      </c>
      <c r="B1275" s="1">
        <v>46088.262013888903</v>
      </c>
      <c r="C1275" s="1">
        <v>46088.262291666702</v>
      </c>
      <c r="D1275" t="s">
        <v>17</v>
      </c>
      <c r="E1275" t="s">
        <v>496</v>
      </c>
      <c r="F1275" s="2">
        <v>13566</v>
      </c>
      <c r="G1275" t="str">
        <f>VLOOKUP(F1275,Produtos!A:B,2,FALSE)</f>
        <v>SKOL BEATS SENSES LATA 269ML CX C/8 FRID</v>
      </c>
      <c r="H1275" t="s">
        <v>499</v>
      </c>
      <c r="I127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5" s="9" t="s">
        <v>496</v>
      </c>
      <c r="K1275" t="s">
        <v>510</v>
      </c>
    </row>
    <row r="1276" spans="1:11" x14ac:dyDescent="0.3">
      <c r="A1276">
        <v>1275</v>
      </c>
      <c r="B1276" s="1">
        <v>46088.263634259303</v>
      </c>
      <c r="C1276" s="1">
        <v>46088.263877314799</v>
      </c>
      <c r="D1276" t="s">
        <v>17</v>
      </c>
      <c r="E1276" t="s">
        <v>496</v>
      </c>
      <c r="F1276" s="2">
        <v>9096</v>
      </c>
      <c r="G1276" t="str">
        <f>VLOOKUP(F1276,Produtos!A:B,2,FALSE)</f>
        <v>PEPSI COLA LATA 350ML SH C/12 NPAL</v>
      </c>
      <c r="H1276" t="s">
        <v>501</v>
      </c>
      <c r="I127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6" s="9" t="s">
        <v>496</v>
      </c>
      <c r="K1276" t="s">
        <v>510</v>
      </c>
    </row>
    <row r="1277" spans="1:11" x14ac:dyDescent="0.3">
      <c r="A1277">
        <v>1276</v>
      </c>
      <c r="B1277" s="1">
        <v>46088.264618055597</v>
      </c>
      <c r="C1277" s="1">
        <v>46088.264918981498</v>
      </c>
      <c r="D1277" t="s">
        <v>17</v>
      </c>
      <c r="E1277" t="s">
        <v>496</v>
      </c>
      <c r="F1277" s="2">
        <v>9085</v>
      </c>
      <c r="G1277" t="str">
        <f>VLOOKUP(F1277,Produtos!A:B,2,FALSE)</f>
        <v>GUARANA CHP ANTARCT DIET LT350ML SHC/12</v>
      </c>
      <c r="H1277" t="s">
        <v>499</v>
      </c>
      <c r="I127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7" s="9" t="s">
        <v>496</v>
      </c>
      <c r="K1277" t="s">
        <v>510</v>
      </c>
    </row>
    <row r="1278" spans="1:11" x14ac:dyDescent="0.3">
      <c r="A1278">
        <v>1277</v>
      </c>
      <c r="B1278" s="1">
        <v>46088.269733796304</v>
      </c>
      <c r="C1278" s="1">
        <v>46088.270081018498</v>
      </c>
      <c r="D1278" t="s">
        <v>17</v>
      </c>
      <c r="E1278" t="s">
        <v>497</v>
      </c>
      <c r="F1278" s="2">
        <v>34608</v>
      </c>
      <c r="G1278" t="str">
        <f>VLOOKUP(F1278,Produtos!A:B,2,FALSE)</f>
        <v>SKOL LATA 350ML SH C/12 MULTIPAK</v>
      </c>
      <c r="H1278" t="s">
        <v>499</v>
      </c>
      <c r="I127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8" s="9" t="s">
        <v>496</v>
      </c>
      <c r="K1278" t="s">
        <v>510</v>
      </c>
    </row>
    <row r="1279" spans="1:11" x14ac:dyDescent="0.3">
      <c r="A1279">
        <v>1278</v>
      </c>
      <c r="B1279" s="1">
        <v>46088.4639930556</v>
      </c>
      <c r="C1279" s="1">
        <v>46088.464942129598</v>
      </c>
      <c r="D1279" t="s">
        <v>28</v>
      </c>
      <c r="E1279" t="s">
        <v>497</v>
      </c>
      <c r="F1279" s="2">
        <v>34027</v>
      </c>
      <c r="G1279" t="str">
        <f>VLOOKUP(F1279,Produtos!A:B,2,FALSE)</f>
        <v>GUARANA CHP ANT LATA 350ML SH C/12 MP</v>
      </c>
      <c r="H1279" t="s">
        <v>499</v>
      </c>
      <c r="I127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9" s="9" t="s">
        <v>496</v>
      </c>
      <c r="K1279" t="str">
        <f>VLOOKUP(Table1[[#This Row],[Nome do avaliador ]],M:N,2,0)</f>
        <v>A</v>
      </c>
    </row>
    <row r="1280" spans="1:11" x14ac:dyDescent="0.3">
      <c r="A1280">
        <v>1279</v>
      </c>
      <c r="B1280" s="1">
        <v>46088.465104166702</v>
      </c>
      <c r="C1280" s="1">
        <v>46088.465682870403</v>
      </c>
      <c r="D1280" t="s">
        <v>28</v>
      </c>
      <c r="E1280" t="s">
        <v>497</v>
      </c>
      <c r="F1280" s="2">
        <v>34027</v>
      </c>
      <c r="G1280" t="str">
        <f>VLOOKUP(F1280,Produtos!A:B,2,FALSE)</f>
        <v>GUARANA CHP ANT LATA 350ML SH C/12 MP</v>
      </c>
      <c r="H1280" t="s">
        <v>499</v>
      </c>
      <c r="I128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0" s="9" t="s">
        <v>496</v>
      </c>
      <c r="K1280" t="str">
        <f>VLOOKUP(Table1[[#This Row],[Nome do avaliador ]],M:N,2,0)</f>
        <v>A</v>
      </c>
    </row>
    <row r="1281" spans="1:11" x14ac:dyDescent="0.3">
      <c r="A1281">
        <v>1280</v>
      </c>
      <c r="B1281" s="1">
        <v>46088.465798611098</v>
      </c>
      <c r="C1281" s="1">
        <v>46088.466111111098</v>
      </c>
      <c r="D1281" t="s">
        <v>28</v>
      </c>
      <c r="E1281" t="s">
        <v>497</v>
      </c>
      <c r="F1281" s="2">
        <v>34027</v>
      </c>
      <c r="G1281" t="str">
        <f>VLOOKUP(F1281,Produtos!A:B,2,FALSE)</f>
        <v>GUARANA CHP ANT LATA 350ML SH C/12 MP</v>
      </c>
      <c r="H1281" t="s">
        <v>499</v>
      </c>
      <c r="I128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1" s="9" t="s">
        <v>496</v>
      </c>
      <c r="K1281" t="str">
        <f>VLOOKUP(Table1[[#This Row],[Nome do avaliador ]],M:N,2,0)</f>
        <v>A</v>
      </c>
    </row>
    <row r="1282" spans="1:11" x14ac:dyDescent="0.3">
      <c r="A1282">
        <v>1281</v>
      </c>
      <c r="B1282" s="1">
        <v>46088.466180555602</v>
      </c>
      <c r="C1282" s="1">
        <v>46088.466643518499</v>
      </c>
      <c r="D1282" t="s">
        <v>28</v>
      </c>
      <c r="E1282" t="s">
        <v>497</v>
      </c>
      <c r="F1282" s="2">
        <v>34027</v>
      </c>
      <c r="G1282" t="str">
        <f>VLOOKUP(F1282,Produtos!A:B,2,FALSE)</f>
        <v>GUARANA CHP ANT LATA 350ML SH C/12 MP</v>
      </c>
      <c r="H1282" t="s">
        <v>509</v>
      </c>
      <c r="I128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2" s="9" t="s">
        <v>496</v>
      </c>
      <c r="K1282" t="str">
        <f>VLOOKUP(Table1[[#This Row],[Nome do avaliador ]],M:N,2,0)</f>
        <v>A</v>
      </c>
    </row>
    <row r="1283" spans="1:11" x14ac:dyDescent="0.3">
      <c r="A1283">
        <v>1282</v>
      </c>
      <c r="B1283" s="1">
        <v>46088.517060185201</v>
      </c>
      <c r="C1283" s="1">
        <v>46088.518506944398</v>
      </c>
      <c r="D1283" t="s">
        <v>7</v>
      </c>
      <c r="E1283" t="s">
        <v>497</v>
      </c>
      <c r="F1283" s="2">
        <v>503</v>
      </c>
      <c r="G1283" t="str">
        <f>VLOOKUP(F1283,Produtos!A:B,2,FALSE)</f>
        <v>SUKITA PET 2L CAIXA C/6</v>
      </c>
      <c r="H1283" t="s">
        <v>509</v>
      </c>
      <c r="I128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3" s="9" t="s">
        <v>496</v>
      </c>
      <c r="K1283" t="str">
        <f>VLOOKUP(Table1[[#This Row],[Nome do avaliador ]],M:N,2,0)</f>
        <v>A</v>
      </c>
    </row>
    <row r="1284" spans="1:11" x14ac:dyDescent="0.3">
      <c r="A1284">
        <v>1283</v>
      </c>
      <c r="B1284" s="1">
        <v>46091.660567129598</v>
      </c>
      <c r="C1284" s="1">
        <v>46091.661192129599</v>
      </c>
      <c r="D1284" t="s">
        <v>507</v>
      </c>
      <c r="E1284" t="s">
        <v>497</v>
      </c>
      <c r="F1284" s="2">
        <v>503</v>
      </c>
      <c r="G1284" t="str">
        <f>VLOOKUP(F1284,Produtos!A:B,2,FALSE)</f>
        <v>SUKITA PET 2L CAIXA C/6</v>
      </c>
      <c r="H1284" t="s">
        <v>509</v>
      </c>
      <c r="I128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4" s="9" t="s">
        <v>496</v>
      </c>
      <c r="K1284" t="str">
        <f>VLOOKUP(Table1[[#This Row],[Nome do avaliador ]],M:N,2,0)</f>
        <v>B</v>
      </c>
    </row>
    <row r="1285" spans="1:11" x14ac:dyDescent="0.3">
      <c r="A1285">
        <v>1284</v>
      </c>
      <c r="B1285" s="1">
        <v>46092.489826388897</v>
      </c>
      <c r="C1285" s="1">
        <v>46092.490162037</v>
      </c>
      <c r="D1285" t="s">
        <v>507</v>
      </c>
      <c r="E1285" t="s">
        <v>496</v>
      </c>
      <c r="F1285" s="2">
        <v>9068</v>
      </c>
      <c r="G1285" t="str">
        <f>VLOOKUP(F1285,Produtos!A:B,2,FALSE)</f>
        <v>SKOL LATA 350ML SH C/12 NPAL</v>
      </c>
      <c r="H1285" t="s">
        <v>509</v>
      </c>
      <c r="I128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5" s="9" t="s">
        <v>496</v>
      </c>
      <c r="K1285" t="str">
        <f>VLOOKUP(Table1[[#This Row],[Nome do avaliador ]],M:N,2,0)</f>
        <v>B</v>
      </c>
    </row>
    <row r="1286" spans="1:11" x14ac:dyDescent="0.3">
      <c r="A1286">
        <v>1285</v>
      </c>
      <c r="B1286" s="1">
        <v>46093.685937499999</v>
      </c>
      <c r="C1286" s="1">
        <v>46093.686585648102</v>
      </c>
      <c r="D1286" t="s">
        <v>507</v>
      </c>
      <c r="E1286" t="s">
        <v>506</v>
      </c>
      <c r="F1286" s="2">
        <v>33820</v>
      </c>
      <c r="G1286" t="e">
        <f>VLOOKUP(F1286,Produtos!A:B,2,FALSE)</f>
        <v>#N/A</v>
      </c>
      <c r="H1286" t="s">
        <v>499</v>
      </c>
      <c r="I128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6" s="9" t="s">
        <v>496</v>
      </c>
      <c r="K1286" t="str">
        <f>VLOOKUP(Table1[[#This Row],[Nome do avaliador ]],M:N,2,0)</f>
        <v>B</v>
      </c>
    </row>
    <row r="1287" spans="1:11" x14ac:dyDescent="0.3">
      <c r="A1287">
        <v>1286</v>
      </c>
      <c r="B1287" s="1">
        <v>46094.703298611101</v>
      </c>
      <c r="C1287" s="1">
        <v>46094.705219907402</v>
      </c>
      <c r="D1287" t="s">
        <v>31</v>
      </c>
      <c r="E1287" t="s">
        <v>496</v>
      </c>
      <c r="F1287" s="2">
        <v>2243</v>
      </c>
      <c r="G1287" t="str">
        <f>VLOOKUP(F1287,Produtos!A:B,2,FALSE)</f>
        <v>GUARANA CHP ANTAR MIX BAG IN BOX 18L</v>
      </c>
      <c r="H1287" t="s">
        <v>500</v>
      </c>
      <c r="I128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7" s="9" t="s">
        <v>496</v>
      </c>
      <c r="K1287" t="str">
        <f>VLOOKUP(Table1[[#This Row],[Nome do avaliador ]],M:N,2,0)</f>
        <v>B</v>
      </c>
    </row>
    <row r="1288" spans="1:11" x14ac:dyDescent="0.3">
      <c r="A1288">
        <v>1287</v>
      </c>
      <c r="B1288" s="1">
        <v>46095.264618055597</v>
      </c>
      <c r="C1288" s="1">
        <v>46095.2649537037</v>
      </c>
      <c r="D1288" t="s">
        <v>17</v>
      </c>
      <c r="E1288" t="s">
        <v>497</v>
      </c>
      <c r="F1288" s="2">
        <v>9081</v>
      </c>
      <c r="G1288" t="str">
        <f>VLOOKUP(F1288,Produtos!A:B,2,FALSE)</f>
        <v>MALZBIER BRAHMA LATA 350ML SH C/12 NPAL</v>
      </c>
      <c r="H1288" t="s">
        <v>500</v>
      </c>
      <c r="I128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8" s="9" t="s">
        <v>496</v>
      </c>
      <c r="K1288" t="s">
        <v>510</v>
      </c>
    </row>
    <row r="1289" spans="1:11" x14ac:dyDescent="0.3">
      <c r="A1289">
        <v>1288</v>
      </c>
      <c r="B1289" s="1">
        <v>46095.265625</v>
      </c>
      <c r="C1289" s="1">
        <v>46095.2658912037</v>
      </c>
      <c r="D1289" t="s">
        <v>17</v>
      </c>
      <c r="E1289" t="s">
        <v>497</v>
      </c>
      <c r="F1289" s="2">
        <v>9081</v>
      </c>
      <c r="G1289" t="str">
        <f>VLOOKUP(F1289,Produtos!A:B,2,FALSE)</f>
        <v>MALZBIER BRAHMA LATA 350ML SH C/12 NPAL</v>
      </c>
      <c r="H1289" t="s">
        <v>500</v>
      </c>
      <c r="I128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9" s="9" t="s">
        <v>496</v>
      </c>
      <c r="K1289" t="s">
        <v>510</v>
      </c>
    </row>
    <row r="1290" spans="1:11" x14ac:dyDescent="0.3">
      <c r="A1290">
        <v>1289</v>
      </c>
      <c r="B1290" s="1">
        <v>46095.267569444397</v>
      </c>
      <c r="C1290" s="1">
        <v>46095.267824074101</v>
      </c>
      <c r="D1290" t="s">
        <v>17</v>
      </c>
      <c r="E1290" t="s">
        <v>497</v>
      </c>
      <c r="F1290" s="2">
        <v>33820</v>
      </c>
      <c r="G1290" t="e">
        <f>VLOOKUP(F1290,Produtos!A:B,2,FALSE)</f>
        <v>#N/A</v>
      </c>
      <c r="H1290" t="s">
        <v>500</v>
      </c>
      <c r="I129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0" s="9" t="s">
        <v>496</v>
      </c>
      <c r="K1290" t="s">
        <v>510</v>
      </c>
    </row>
    <row r="1291" spans="1:11" x14ac:dyDescent="0.3">
      <c r="A1291">
        <v>1290</v>
      </c>
      <c r="B1291" s="1">
        <v>46095.848622685196</v>
      </c>
      <c r="C1291" s="1">
        <v>46095.849328703698</v>
      </c>
      <c r="D1291" t="s">
        <v>22</v>
      </c>
      <c r="E1291" t="s">
        <v>506</v>
      </c>
      <c r="F1291" s="2">
        <v>2132</v>
      </c>
      <c r="G1291" t="str">
        <f>VLOOKUP(F1291,Produtos!A:B,2,FALSE)</f>
        <v>GUARANA CHP ANTARCTICA PET1L CX C/6 NRIO</v>
      </c>
      <c r="H1291" t="s">
        <v>500</v>
      </c>
      <c r="I129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1" s="9" t="s">
        <v>496</v>
      </c>
      <c r="K1291" t="str">
        <f>VLOOKUP(Table1[[#This Row],[Nome do avaliador ]],M:N,2,0)</f>
        <v>B</v>
      </c>
    </row>
    <row r="1292" spans="1:11" x14ac:dyDescent="0.3">
      <c r="A1292">
        <v>1291</v>
      </c>
      <c r="B1292" s="1">
        <v>46095.938842592601</v>
      </c>
      <c r="C1292" s="1">
        <v>46095.9405555556</v>
      </c>
      <c r="D1292" t="s">
        <v>38</v>
      </c>
      <c r="E1292" t="s">
        <v>496</v>
      </c>
      <c r="F1292" s="2">
        <v>19225</v>
      </c>
      <c r="G1292" t="str">
        <f>VLOOKUP(F1292,Produtos!A:B,2,FALSE)</f>
        <v>RED BULL BR LATA 250ML CAIXA C/24</v>
      </c>
      <c r="H1292" t="s">
        <v>500</v>
      </c>
      <c r="I129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2" s="9" t="s">
        <v>496</v>
      </c>
      <c r="K1292" t="str">
        <f>VLOOKUP(Table1[[#This Row],[Nome do avaliador ]],M:N,2,0)</f>
        <v>B</v>
      </c>
    </row>
    <row r="1293" spans="1:11" x14ac:dyDescent="0.3">
      <c r="A1293">
        <v>1292</v>
      </c>
      <c r="B1293" s="1">
        <v>46095.940567129597</v>
      </c>
      <c r="C1293" s="1">
        <v>46095.940856481502</v>
      </c>
      <c r="D1293" t="s">
        <v>38</v>
      </c>
      <c r="E1293" t="s">
        <v>496</v>
      </c>
      <c r="F1293" s="2">
        <v>19225</v>
      </c>
      <c r="G1293" t="str">
        <f>VLOOKUP(F1293,Produtos!A:B,2,FALSE)</f>
        <v>RED BULL BR LATA 250ML CAIXA C/24</v>
      </c>
      <c r="H1293" t="s">
        <v>500</v>
      </c>
      <c r="I129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3" s="9" t="s">
        <v>496</v>
      </c>
      <c r="K1293" t="str">
        <f>VLOOKUP(Table1[[#This Row],[Nome do avaliador ]],M:N,2,0)</f>
        <v>B</v>
      </c>
    </row>
    <row r="1294" spans="1:11" x14ac:dyDescent="0.3">
      <c r="A1294">
        <v>1293</v>
      </c>
      <c r="B1294" s="1">
        <v>46100.691817129598</v>
      </c>
      <c r="C1294" s="1">
        <v>46100.694930555597</v>
      </c>
      <c r="D1294" t="s">
        <v>507</v>
      </c>
      <c r="E1294" t="s">
        <v>15</v>
      </c>
      <c r="F1294">
        <v>1695</v>
      </c>
      <c r="G1294" t="str">
        <f>VLOOKUP(F1294,Produtos!A:B,2,FALSE)</f>
        <v>BRAHMA CHOPP GFA VD 1L COM TTC</v>
      </c>
      <c r="H1294" t="s">
        <v>500</v>
      </c>
      <c r="I129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4" s="9" t="str">
        <f>VLOOKUP(Table1[[#This Row],[Área avaliada]],Endereços!A:B,2,0)</f>
        <v>Picking Alto Giro</v>
      </c>
      <c r="K1294" t="str">
        <f>VLOOKUP(Table1[[#This Row],[Nome do avaliador ]],M:N,2,0)</f>
        <v>B</v>
      </c>
    </row>
    <row r="1295" spans="1:11" x14ac:dyDescent="0.3">
      <c r="A1295">
        <v>1294</v>
      </c>
      <c r="B1295" s="1">
        <v>46100.706423611096</v>
      </c>
      <c r="C1295" s="1">
        <v>46100.708344907398</v>
      </c>
      <c r="D1295" t="s">
        <v>507</v>
      </c>
      <c r="E1295" t="s">
        <v>15</v>
      </c>
      <c r="F1295">
        <v>9069</v>
      </c>
      <c r="G1295" t="str">
        <f>VLOOKUP(F1295,Produtos!A:B,2,FALSE)</f>
        <v>BRAHMA CHOPP LATA 350ML SH C/12 NPAL</v>
      </c>
      <c r="H1295" t="s">
        <v>500</v>
      </c>
      <c r="I129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5" s="9" t="str">
        <f>VLOOKUP(Table1[[#This Row],[Área avaliada]],Endereços!A:B,2,0)</f>
        <v>Picking Alto Giro</v>
      </c>
      <c r="K1295" t="str">
        <f>VLOOKUP(Table1[[#This Row],[Nome do avaliador ]],M:N,2,0)</f>
        <v>B</v>
      </c>
    </row>
    <row r="1296" spans="1:11" x14ac:dyDescent="0.3">
      <c r="A1296">
        <v>1295</v>
      </c>
      <c r="B1296" s="1">
        <v>46100.777916666702</v>
      </c>
      <c r="C1296" s="1">
        <v>46100.780115740701</v>
      </c>
      <c r="D1296" t="s">
        <v>22</v>
      </c>
      <c r="E1296" t="s">
        <v>496</v>
      </c>
      <c r="F1296" s="2">
        <v>1898</v>
      </c>
      <c r="G1296" t="str">
        <f>VLOOKUP(F1296,Produtos!A:B,2,FALSE)</f>
        <v>BRAHMA CHOPP LT 269ML SH C/15 NPAL</v>
      </c>
      <c r="H1296" t="s">
        <v>499</v>
      </c>
      <c r="I129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6" s="9" t="s">
        <v>496</v>
      </c>
      <c r="K1296" t="str">
        <f>VLOOKUP(Table1[[#This Row],[Nome do avaliador ]],M:N,2,0)</f>
        <v>B</v>
      </c>
    </row>
    <row r="1297" spans="1:11" x14ac:dyDescent="0.3">
      <c r="A1297">
        <v>1296</v>
      </c>
      <c r="B1297" s="1">
        <v>46101.633923611102</v>
      </c>
      <c r="C1297" s="1">
        <v>46101.634652777801</v>
      </c>
      <c r="D1297" t="s">
        <v>507</v>
      </c>
      <c r="E1297" t="s">
        <v>506</v>
      </c>
      <c r="F1297" s="2">
        <v>9084</v>
      </c>
      <c r="G1297" t="str">
        <f>VLOOKUP(F1297,Produtos!A:B,2,FALSE)</f>
        <v>GUARANA CHP ANTARCT LT350ML SH C/12 NPAL</v>
      </c>
      <c r="H1297" t="s">
        <v>499</v>
      </c>
      <c r="I129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7" s="9" t="s">
        <v>496</v>
      </c>
      <c r="K1297" t="str">
        <f>VLOOKUP(Table1[[#This Row],[Nome do avaliador ]],M:N,2,0)</f>
        <v>B</v>
      </c>
    </row>
    <row r="1298" spans="1:11" x14ac:dyDescent="0.3">
      <c r="A1298">
        <v>1297</v>
      </c>
      <c r="B1298" s="1">
        <v>46101.636273148099</v>
      </c>
      <c r="C1298" s="1">
        <v>46101.636678240699</v>
      </c>
      <c r="D1298" t="s">
        <v>507</v>
      </c>
      <c r="E1298" t="s">
        <v>506</v>
      </c>
      <c r="F1298" s="2">
        <v>9084</v>
      </c>
      <c r="G1298" t="str">
        <f>VLOOKUP(F1298,Produtos!A:B,2,FALSE)</f>
        <v>GUARANA CHP ANTARCT LT350ML SH C/12 NPAL</v>
      </c>
      <c r="H1298" t="s">
        <v>499</v>
      </c>
      <c r="I129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8" s="9" t="s">
        <v>496</v>
      </c>
      <c r="K1298" t="str">
        <f>VLOOKUP(Table1[[#This Row],[Nome do avaliador ]],M:N,2,0)</f>
        <v>B</v>
      </c>
    </row>
    <row r="1299" spans="1:11" x14ac:dyDescent="0.3">
      <c r="A1299">
        <v>1298</v>
      </c>
      <c r="B1299" s="1">
        <v>46101.637708333299</v>
      </c>
      <c r="C1299" s="1">
        <v>46101.638182870403</v>
      </c>
      <c r="D1299" t="s">
        <v>507</v>
      </c>
      <c r="E1299" t="s">
        <v>506</v>
      </c>
      <c r="F1299" s="2">
        <v>9084</v>
      </c>
      <c r="G1299" t="str">
        <f>VLOOKUP(F1299,Produtos!A:B,2,FALSE)</f>
        <v>GUARANA CHP ANTARCT LT350ML SH C/12 NPAL</v>
      </c>
      <c r="H1299" t="s">
        <v>499</v>
      </c>
      <c r="I129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9" s="9" t="s">
        <v>496</v>
      </c>
      <c r="K1299" t="str">
        <f>VLOOKUP(Table1[[#This Row],[Nome do avaliador ]],M:N,2,0)</f>
        <v>B</v>
      </c>
    </row>
    <row r="1300" spans="1:11" x14ac:dyDescent="0.3">
      <c r="A1300">
        <v>1299</v>
      </c>
      <c r="B1300" s="1">
        <v>46101.639641203699</v>
      </c>
      <c r="C1300" s="1">
        <v>46101.639988425901</v>
      </c>
      <c r="D1300" t="s">
        <v>507</v>
      </c>
      <c r="E1300" t="s">
        <v>506</v>
      </c>
      <c r="F1300" s="2">
        <v>9084</v>
      </c>
      <c r="G1300" t="str">
        <f>VLOOKUP(F1300,Produtos!A:B,2,FALSE)</f>
        <v>GUARANA CHP ANTARCT LT350ML SH C/12 NPAL</v>
      </c>
      <c r="H1300" t="s">
        <v>499</v>
      </c>
      <c r="I130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0" s="9" t="s">
        <v>496</v>
      </c>
      <c r="K1300" t="str">
        <f>VLOOKUP(Table1[[#This Row],[Nome do avaliador ]],M:N,2,0)</f>
        <v>B</v>
      </c>
    </row>
    <row r="1301" spans="1:11" x14ac:dyDescent="0.3">
      <c r="A1301">
        <v>1300</v>
      </c>
      <c r="B1301" s="1">
        <v>46101.640995370399</v>
      </c>
      <c r="C1301" s="1">
        <v>46101.641307870399</v>
      </c>
      <c r="D1301" t="s">
        <v>507</v>
      </c>
      <c r="E1301" t="s">
        <v>506</v>
      </c>
      <c r="F1301" s="2">
        <v>9084</v>
      </c>
      <c r="G1301" t="str">
        <f>VLOOKUP(F1301,Produtos!A:B,2,FALSE)</f>
        <v>GUARANA CHP ANTARCT LT350ML SH C/12 NPAL</v>
      </c>
      <c r="H1301" t="s">
        <v>499</v>
      </c>
      <c r="I130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1" s="9" t="s">
        <v>496</v>
      </c>
      <c r="K1301" t="str">
        <f>VLOOKUP(Table1[[#This Row],[Nome do avaliador ]],M:N,2,0)</f>
        <v>B</v>
      </c>
    </row>
    <row r="1302" spans="1:11" x14ac:dyDescent="0.3">
      <c r="A1302">
        <v>1301</v>
      </c>
      <c r="B1302" s="1">
        <v>46101.643020833297</v>
      </c>
      <c r="C1302" s="1">
        <v>46101.643657407403</v>
      </c>
      <c r="D1302" t="s">
        <v>507</v>
      </c>
      <c r="E1302" t="s">
        <v>506</v>
      </c>
      <c r="F1302" s="2">
        <v>9084</v>
      </c>
      <c r="G1302" t="str">
        <f>VLOOKUP(F1302,Produtos!A:B,2,FALSE)</f>
        <v>GUARANA CHP ANTARCT LT350ML SH C/12 NPAL</v>
      </c>
      <c r="H1302" t="s">
        <v>499</v>
      </c>
      <c r="I130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2" s="9" t="s">
        <v>496</v>
      </c>
      <c r="K1302" t="str">
        <f>VLOOKUP(Table1[[#This Row],[Nome do avaliador ]],M:N,2,0)</f>
        <v>B</v>
      </c>
    </row>
    <row r="1303" spans="1:11" x14ac:dyDescent="0.3">
      <c r="A1303">
        <v>1302</v>
      </c>
      <c r="B1303" s="1">
        <v>46101.645324074103</v>
      </c>
      <c r="C1303" s="1">
        <v>46101.645729166703</v>
      </c>
      <c r="D1303" t="s">
        <v>507</v>
      </c>
      <c r="E1303" t="s">
        <v>506</v>
      </c>
      <c r="F1303" s="2">
        <v>9084</v>
      </c>
      <c r="G1303" t="str">
        <f>VLOOKUP(F1303,Produtos!A:B,2,FALSE)</f>
        <v>GUARANA CHP ANTARCT LT350ML SH C/12 NPAL</v>
      </c>
      <c r="H1303" t="s">
        <v>499</v>
      </c>
      <c r="I130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3" s="9" t="s">
        <v>496</v>
      </c>
      <c r="K1303" t="str">
        <f>VLOOKUP(Table1[[#This Row],[Nome do avaliador ]],M:N,2,0)</f>
        <v>B</v>
      </c>
    </row>
    <row r="1304" spans="1:11" x14ac:dyDescent="0.3">
      <c r="A1304">
        <v>1303</v>
      </c>
      <c r="B1304" s="1">
        <v>46101.912592592598</v>
      </c>
      <c r="C1304" s="1">
        <v>46101.912928240701</v>
      </c>
      <c r="D1304" t="s">
        <v>507</v>
      </c>
      <c r="E1304" t="s">
        <v>506</v>
      </c>
      <c r="F1304" s="2">
        <v>33818</v>
      </c>
      <c r="G1304" t="str">
        <f>VLOOKUP(F1304,Produtos!A:B,2,FALSE)</f>
        <v>ORIGINAL LT 350ML SH C/12 NP MULTIPACK</v>
      </c>
      <c r="H1304" t="s">
        <v>499</v>
      </c>
      <c r="I130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4" s="9" t="s">
        <v>496</v>
      </c>
      <c r="K1304" t="str">
        <f>VLOOKUP(Table1[[#This Row],[Nome do avaliador ]],M:N,2,0)</f>
        <v>B</v>
      </c>
    </row>
    <row r="1305" spans="1:11" x14ac:dyDescent="0.3">
      <c r="A1305">
        <v>1304</v>
      </c>
      <c r="B1305" s="1">
        <v>46101.913171296299</v>
      </c>
      <c r="C1305" s="1">
        <v>46101.913888888899</v>
      </c>
      <c r="D1305" t="s">
        <v>507</v>
      </c>
      <c r="E1305" t="s">
        <v>506</v>
      </c>
      <c r="F1305" s="2">
        <v>33818</v>
      </c>
      <c r="G1305" t="str">
        <f>VLOOKUP(F1305,Produtos!A:B,2,FALSE)</f>
        <v>ORIGINAL LT 350ML SH C/12 NP MULTIPACK</v>
      </c>
      <c r="H1305" t="s">
        <v>499</v>
      </c>
      <c r="I130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5" s="9" t="s">
        <v>496</v>
      </c>
      <c r="K1305" t="str">
        <f>VLOOKUP(Table1[[#This Row],[Nome do avaliador ]],M:N,2,0)</f>
        <v>B</v>
      </c>
    </row>
    <row r="1306" spans="1:11" x14ac:dyDescent="0.3">
      <c r="A1306">
        <v>1305</v>
      </c>
      <c r="B1306" s="1">
        <v>46102.245995370402</v>
      </c>
      <c r="C1306" s="1">
        <v>46102.246284722198</v>
      </c>
      <c r="D1306" t="s">
        <v>17</v>
      </c>
      <c r="E1306" t="s">
        <v>497</v>
      </c>
      <c r="F1306" s="2">
        <v>9067</v>
      </c>
      <c r="G1306" t="str">
        <f>VLOOKUP(F1306,Produtos!A:B,2,FALSE)</f>
        <v>ANTARCTICA PILSEN LATA 350ML SH C/12 NPA</v>
      </c>
      <c r="H1306" t="s">
        <v>499</v>
      </c>
      <c r="I130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6" s="9" t="s">
        <v>496</v>
      </c>
      <c r="K1306" t="s">
        <v>510</v>
      </c>
    </row>
    <row r="1307" spans="1:11" x14ac:dyDescent="0.3">
      <c r="A1307">
        <v>1306</v>
      </c>
      <c r="B1307" s="1">
        <v>46102.249895833302</v>
      </c>
      <c r="C1307" s="1">
        <v>46102.250196759298</v>
      </c>
      <c r="D1307" t="s">
        <v>17</v>
      </c>
      <c r="E1307" t="s">
        <v>497</v>
      </c>
      <c r="F1307" s="2">
        <v>9083</v>
      </c>
      <c r="G1307" t="str">
        <f>VLOOKUP(F1307,Produtos!A:B,2,FALSE)</f>
        <v>SKOL LT 473ML SH C/12 NPAL</v>
      </c>
      <c r="H1307" t="s">
        <v>500</v>
      </c>
      <c r="I130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7" s="9" t="s">
        <v>496</v>
      </c>
      <c r="K1307" t="s">
        <v>510</v>
      </c>
    </row>
    <row r="1308" spans="1:11" x14ac:dyDescent="0.3">
      <c r="A1308">
        <v>1307</v>
      </c>
      <c r="B1308" s="1">
        <v>46102.253414351799</v>
      </c>
      <c r="C1308" s="1">
        <v>46102.253819444399</v>
      </c>
      <c r="D1308" t="s">
        <v>17</v>
      </c>
      <c r="E1308" t="s">
        <v>497</v>
      </c>
      <c r="F1308" s="2">
        <v>9089</v>
      </c>
      <c r="G1308" t="str">
        <f>VLOOKUP(F1308,Produtos!A:B,2,FALSE)</f>
        <v>SUKITA LATA 350ML SH C/12 NPAL</v>
      </c>
      <c r="H1308" t="s">
        <v>500</v>
      </c>
      <c r="I130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8" s="9" t="s">
        <v>496</v>
      </c>
      <c r="K1308" t="s">
        <v>510</v>
      </c>
    </row>
    <row r="1309" spans="1:11" x14ac:dyDescent="0.3">
      <c r="A1309">
        <v>1308</v>
      </c>
      <c r="B1309" s="1">
        <v>46104.448645833298</v>
      </c>
      <c r="C1309" s="1">
        <v>46104.449571759302</v>
      </c>
      <c r="D1309" t="s">
        <v>7</v>
      </c>
      <c r="E1309" t="s">
        <v>496</v>
      </c>
      <c r="F1309" s="2">
        <v>772</v>
      </c>
      <c r="G1309" t="str">
        <f>VLOOKUP(F1309,Produtos!A:B,2,FALSE)</f>
        <v>PEPSI COLA MIX BAG IN BOX 18L</v>
      </c>
      <c r="H1309" t="s">
        <v>500</v>
      </c>
      <c r="I130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9" s="9" t="s">
        <v>496</v>
      </c>
      <c r="K1309" t="str">
        <f>VLOOKUP(Table1[[#This Row],[Nome do avaliador ]],M:N,2,0)</f>
        <v>A</v>
      </c>
    </row>
    <row r="1310" spans="1:11" x14ac:dyDescent="0.3">
      <c r="A1310">
        <v>1309</v>
      </c>
      <c r="B1310" s="1">
        <v>46109.248009259303</v>
      </c>
      <c r="C1310" s="1">
        <v>46109.248402777797</v>
      </c>
      <c r="D1310" t="s">
        <v>17</v>
      </c>
      <c r="E1310" t="s">
        <v>497</v>
      </c>
      <c r="F1310" s="2">
        <v>21119</v>
      </c>
      <c r="G1310" t="str">
        <f>VLOOKUP(F1310,Produtos!A:B,2,FALSE)</f>
        <v>SKOL BEATS GT LT 269ML CX CAR C/8</v>
      </c>
      <c r="H1310" t="s">
        <v>500</v>
      </c>
      <c r="I131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0" s="9" t="s">
        <v>496</v>
      </c>
      <c r="K1310" t="s">
        <v>510</v>
      </c>
    </row>
    <row r="1311" spans="1:11" x14ac:dyDescent="0.3">
      <c r="A1311">
        <v>1310</v>
      </c>
      <c r="B1311" s="1">
        <v>46109.249293981498</v>
      </c>
      <c r="C1311" s="1">
        <v>46109.249571759297</v>
      </c>
      <c r="D1311" t="s">
        <v>17</v>
      </c>
      <c r="E1311" t="s">
        <v>497</v>
      </c>
      <c r="F1311" s="2">
        <v>9071</v>
      </c>
      <c r="G1311" t="str">
        <f>VLOOKUP(F1311,Produtos!A:B,2,FALSE)</f>
        <v>CARACU LATA 350ML SH C/12 NPAL</v>
      </c>
      <c r="H1311" t="s">
        <v>500</v>
      </c>
      <c r="I131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1" s="9" t="s">
        <v>496</v>
      </c>
      <c r="K1311" t="s">
        <v>510</v>
      </c>
    </row>
    <row r="1312" spans="1:11" x14ac:dyDescent="0.3">
      <c r="A1312">
        <v>1311</v>
      </c>
      <c r="B1312" s="1">
        <v>46109.250300925902</v>
      </c>
      <c r="C1312" s="1">
        <v>46109.250567129602</v>
      </c>
      <c r="D1312" t="s">
        <v>17</v>
      </c>
      <c r="E1312" t="s">
        <v>497</v>
      </c>
      <c r="F1312" s="2">
        <v>1745</v>
      </c>
      <c r="G1312" t="str">
        <f>VLOOKUP(F1312,Produtos!A:B,2,FALSE)</f>
        <v>SKOL LT 269ML SH C/15 NPAL</v>
      </c>
      <c r="H1312" t="s">
        <v>500</v>
      </c>
      <c r="I131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2" s="9" t="s">
        <v>496</v>
      </c>
      <c r="K1312" t="s">
        <v>510</v>
      </c>
    </row>
    <row r="1313" spans="1:11" x14ac:dyDescent="0.3">
      <c r="A1313">
        <v>1312</v>
      </c>
      <c r="B1313" s="1">
        <v>46109.2550231481</v>
      </c>
      <c r="C1313" s="1">
        <v>46109.2555208333</v>
      </c>
      <c r="D1313" t="s">
        <v>17</v>
      </c>
      <c r="E1313" t="s">
        <v>497</v>
      </c>
      <c r="F1313" s="2">
        <v>19310</v>
      </c>
      <c r="G1313" t="str">
        <f>VLOOKUP(F1313,Produtos!A:B,2,FALSE)</f>
        <v>ORIGINAL LATA 350ML CX CARTAO C/12 NPAL</v>
      </c>
      <c r="H1313" t="s">
        <v>500</v>
      </c>
      <c r="I131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3" s="9" t="s">
        <v>496</v>
      </c>
      <c r="K1313" t="s">
        <v>510</v>
      </c>
    </row>
    <row r="1314" spans="1:11" x14ac:dyDescent="0.3">
      <c r="A1314">
        <v>1313</v>
      </c>
      <c r="B1314" s="1">
        <v>46109.257199074098</v>
      </c>
      <c r="C1314" s="1">
        <v>46109.2575</v>
      </c>
      <c r="D1314" t="s">
        <v>17</v>
      </c>
      <c r="E1314" t="s">
        <v>497</v>
      </c>
      <c r="F1314" s="2">
        <v>9069</v>
      </c>
      <c r="G1314" t="str">
        <f>VLOOKUP(F1314,Produtos!A:B,2,FALSE)</f>
        <v>BRAHMA CHOPP LATA 350ML SH C/12 NPAL</v>
      </c>
      <c r="H1314" t="s">
        <v>500</v>
      </c>
      <c r="I131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4" s="9" t="s">
        <v>496</v>
      </c>
      <c r="K1314" t="s">
        <v>510</v>
      </c>
    </row>
    <row r="1315" spans="1:11" x14ac:dyDescent="0.3">
      <c r="A1315">
        <v>1314</v>
      </c>
      <c r="B1315" s="1">
        <v>46109.258090277799</v>
      </c>
      <c r="C1315" s="1">
        <v>46109.258402777799</v>
      </c>
      <c r="D1315" t="s">
        <v>17</v>
      </c>
      <c r="E1315" t="s">
        <v>497</v>
      </c>
      <c r="F1315" s="2">
        <v>19310</v>
      </c>
      <c r="G1315" t="str">
        <f>VLOOKUP(F1315,Produtos!A:B,2,FALSE)</f>
        <v>ORIGINAL LATA 350ML CX CARTAO C/12 NPAL</v>
      </c>
      <c r="H1315" t="s">
        <v>500</v>
      </c>
      <c r="I131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5" s="9" t="s">
        <v>496</v>
      </c>
      <c r="K1315" t="s">
        <v>510</v>
      </c>
    </row>
    <row r="1316" spans="1:11" x14ac:dyDescent="0.3">
      <c r="A1316">
        <v>1315</v>
      </c>
      <c r="B1316" s="1">
        <v>46109.535150463002</v>
      </c>
      <c r="C1316" s="1">
        <v>46109.535833333299</v>
      </c>
      <c r="D1316" t="s">
        <v>514</v>
      </c>
      <c r="E1316" t="s">
        <v>497</v>
      </c>
      <c r="F1316" s="2">
        <v>19310</v>
      </c>
      <c r="G1316" t="str">
        <f>VLOOKUP(F1316,Produtos!A:B,2,FALSE)</f>
        <v>ORIGINAL LATA 350ML CX CARTAO C/12 NPAL</v>
      </c>
      <c r="H1316" t="s">
        <v>500</v>
      </c>
      <c r="I131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6" s="9" t="s">
        <v>496</v>
      </c>
      <c r="K1316" t="s">
        <v>510</v>
      </c>
    </row>
    <row r="1317" spans="1:11" x14ac:dyDescent="0.3">
      <c r="A1317">
        <v>1316</v>
      </c>
      <c r="B1317" s="1">
        <v>46113.692083333299</v>
      </c>
      <c r="C1317" s="1">
        <v>46113.694756944402</v>
      </c>
      <c r="D1317" t="s">
        <v>31</v>
      </c>
      <c r="E1317" t="s">
        <v>497</v>
      </c>
      <c r="F1317" s="2">
        <v>9091</v>
      </c>
      <c r="G1317" t="str">
        <f>VLOOKUP(F1317,Produtos!A:B,2,FALSE)</f>
        <v>TONICA ANTARCTICA LT 350ML SH C/12 NPAL</v>
      </c>
      <c r="H1317" t="s">
        <v>500</v>
      </c>
      <c r="I131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17" s="9" t="s">
        <v>496</v>
      </c>
      <c r="K1317" t="str">
        <f>VLOOKUP(Table1[[#This Row],[Nome do avaliador ]],M:N,2,0)</f>
        <v>B</v>
      </c>
    </row>
    <row r="1318" spans="1:11" x14ac:dyDescent="0.3">
      <c r="A1318">
        <v>1317</v>
      </c>
      <c r="B1318" s="1">
        <v>46113.694826388899</v>
      </c>
      <c r="C1318" s="1">
        <v>46113.697372685201</v>
      </c>
      <c r="D1318" t="s">
        <v>31</v>
      </c>
      <c r="E1318" t="s">
        <v>497</v>
      </c>
      <c r="F1318" s="2">
        <v>9091</v>
      </c>
      <c r="G1318" t="str">
        <f>VLOOKUP(F1318,Produtos!A:B,2,FALSE)</f>
        <v>TONICA ANTARCTICA LT 350ML SH C/12 NPAL</v>
      </c>
      <c r="H1318" t="s">
        <v>500</v>
      </c>
      <c r="I131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18" s="9" t="s">
        <v>496</v>
      </c>
      <c r="K1318" t="str">
        <f>VLOOKUP(Table1[[#This Row],[Nome do avaliador ]],M:N,2,0)</f>
        <v>B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033C-EDA9-4D5D-A506-D0F07AB4564D}">
  <dimension ref="A1:B12"/>
  <sheetViews>
    <sheetView workbookViewId="0">
      <selection activeCell="A6" sqref="A6"/>
    </sheetView>
  </sheetViews>
  <sheetFormatPr defaultRowHeight="14.4" x14ac:dyDescent="0.3"/>
  <cols>
    <col min="1" max="2" width="16.88671875" bestFit="1" customWidth="1"/>
  </cols>
  <sheetData>
    <row r="1" spans="1:2" x14ac:dyDescent="0.3">
      <c r="A1" t="s">
        <v>502</v>
      </c>
      <c r="B1" t="s">
        <v>503</v>
      </c>
    </row>
    <row r="2" spans="1:2" x14ac:dyDescent="0.3">
      <c r="A2" t="s">
        <v>8</v>
      </c>
      <c r="B2" t="s">
        <v>15</v>
      </c>
    </row>
    <row r="3" spans="1:2" x14ac:dyDescent="0.3">
      <c r="A3" t="s">
        <v>10</v>
      </c>
      <c r="B3" s="7" t="s">
        <v>497</v>
      </c>
    </row>
    <row r="4" spans="1:2" x14ac:dyDescent="0.3">
      <c r="A4" t="s">
        <v>12</v>
      </c>
      <c r="B4" s="7" t="s">
        <v>497</v>
      </c>
    </row>
    <row r="5" spans="1:2" x14ac:dyDescent="0.3">
      <c r="A5" t="s">
        <v>14</v>
      </c>
      <c r="B5" t="s">
        <v>14</v>
      </c>
    </row>
    <row r="6" spans="1:2" x14ac:dyDescent="0.3">
      <c r="A6" t="s">
        <v>15</v>
      </c>
      <c r="B6" t="s">
        <v>15</v>
      </c>
    </row>
    <row r="7" spans="1:2" x14ac:dyDescent="0.3">
      <c r="A7" t="s">
        <v>18</v>
      </c>
      <c r="B7" s="7" t="s">
        <v>504</v>
      </c>
    </row>
    <row r="8" spans="1:2" x14ac:dyDescent="0.3">
      <c r="A8" t="s">
        <v>20</v>
      </c>
      <c r="B8" s="7" t="s">
        <v>496</v>
      </c>
    </row>
    <row r="9" spans="1:2" x14ac:dyDescent="0.3">
      <c r="A9" t="s">
        <v>23</v>
      </c>
      <c r="B9" s="7" t="s">
        <v>496</v>
      </c>
    </row>
    <row r="10" spans="1:2" x14ac:dyDescent="0.3">
      <c r="A10" t="s">
        <v>25</v>
      </c>
      <c r="B10" s="7" t="s">
        <v>496</v>
      </c>
    </row>
    <row r="11" spans="1:2" x14ac:dyDescent="0.3">
      <c r="A11" t="s">
        <v>32</v>
      </c>
      <c r="B11" s="7" t="s">
        <v>504</v>
      </c>
    </row>
    <row r="12" spans="1:2" x14ac:dyDescent="0.3">
      <c r="A12" t="s">
        <v>33</v>
      </c>
      <c r="B12" s="7" t="s">
        <v>497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FA71-EFCE-444C-AF89-6CF5C7FF5A50}">
  <dimension ref="A1:B424"/>
  <sheetViews>
    <sheetView workbookViewId="0">
      <selection activeCell="B2" sqref="B2"/>
    </sheetView>
  </sheetViews>
  <sheetFormatPr defaultRowHeight="14.4" x14ac:dyDescent="0.3"/>
  <cols>
    <col min="1" max="1" width="16" customWidth="1"/>
    <col min="2" max="2" width="67.33203125" bestFit="1" customWidth="1"/>
  </cols>
  <sheetData>
    <row r="1" spans="1:2" x14ac:dyDescent="0.3">
      <c r="A1" s="3" t="s">
        <v>48</v>
      </c>
      <c r="B1" s="3" t="s">
        <v>49</v>
      </c>
    </row>
    <row r="2" spans="1:2" x14ac:dyDescent="0.3">
      <c r="A2" s="4">
        <v>29232</v>
      </c>
      <c r="B2" s="4" t="s">
        <v>50</v>
      </c>
    </row>
    <row r="3" spans="1:2" x14ac:dyDescent="0.3">
      <c r="A3" s="4">
        <v>21529</v>
      </c>
      <c r="B3" s="4" t="s">
        <v>51</v>
      </c>
    </row>
    <row r="4" spans="1:2" x14ac:dyDescent="0.3">
      <c r="A4" s="4">
        <v>24613</v>
      </c>
      <c r="B4" s="4" t="s">
        <v>52</v>
      </c>
    </row>
    <row r="5" spans="1:2" x14ac:dyDescent="0.3">
      <c r="A5" s="4">
        <v>23463</v>
      </c>
      <c r="B5" s="4" t="s">
        <v>53</v>
      </c>
    </row>
    <row r="6" spans="1:2" x14ac:dyDescent="0.3">
      <c r="A6" s="4">
        <v>13017</v>
      </c>
      <c r="B6" s="4" t="s">
        <v>54</v>
      </c>
    </row>
    <row r="7" spans="1:2" x14ac:dyDescent="0.3">
      <c r="A7" s="4">
        <v>15416</v>
      </c>
      <c r="B7" s="4" t="s">
        <v>55</v>
      </c>
    </row>
    <row r="8" spans="1:2" x14ac:dyDescent="0.3">
      <c r="A8" s="4">
        <v>6909</v>
      </c>
      <c r="B8" s="4" t="s">
        <v>56</v>
      </c>
    </row>
    <row r="9" spans="1:2" x14ac:dyDescent="0.3">
      <c r="A9" s="4">
        <v>6905</v>
      </c>
      <c r="B9" s="4" t="s">
        <v>57</v>
      </c>
    </row>
    <row r="10" spans="1:2" x14ac:dyDescent="0.3">
      <c r="A10" s="4">
        <v>6911</v>
      </c>
      <c r="B10" s="4" t="s">
        <v>58</v>
      </c>
    </row>
    <row r="11" spans="1:2" x14ac:dyDescent="0.3">
      <c r="A11" s="4">
        <v>8975</v>
      </c>
      <c r="B11" s="4" t="s">
        <v>59</v>
      </c>
    </row>
    <row r="12" spans="1:2" x14ac:dyDescent="0.3">
      <c r="A12" s="4">
        <v>15414</v>
      </c>
      <c r="B12" s="4" t="s">
        <v>60</v>
      </c>
    </row>
    <row r="13" spans="1:2" x14ac:dyDescent="0.3">
      <c r="A13" s="4">
        <v>6907</v>
      </c>
      <c r="B13" s="4" t="s">
        <v>61</v>
      </c>
    </row>
    <row r="14" spans="1:2" x14ac:dyDescent="0.3">
      <c r="A14" s="4">
        <v>6903</v>
      </c>
      <c r="B14" s="4" t="s">
        <v>62</v>
      </c>
    </row>
    <row r="15" spans="1:2" x14ac:dyDescent="0.3">
      <c r="A15" s="4">
        <v>2538</v>
      </c>
      <c r="B15" s="4" t="s">
        <v>63</v>
      </c>
    </row>
    <row r="16" spans="1:2" x14ac:dyDescent="0.3">
      <c r="A16" s="4">
        <v>1743</v>
      </c>
      <c r="B16" s="4" t="s">
        <v>64</v>
      </c>
    </row>
    <row r="17" spans="1:2" x14ac:dyDescent="0.3">
      <c r="A17" s="4">
        <v>13203</v>
      </c>
      <c r="B17" s="4" t="s">
        <v>65</v>
      </c>
    </row>
    <row r="18" spans="1:2" x14ac:dyDescent="0.3">
      <c r="A18" s="4">
        <v>9067</v>
      </c>
      <c r="B18" s="4" t="s">
        <v>66</v>
      </c>
    </row>
    <row r="19" spans="1:2" x14ac:dyDescent="0.3">
      <c r="A19" s="4">
        <v>17725</v>
      </c>
      <c r="B19" s="4" t="s">
        <v>67</v>
      </c>
    </row>
    <row r="20" spans="1:2" x14ac:dyDescent="0.3">
      <c r="A20" s="4">
        <v>2006</v>
      </c>
      <c r="B20" s="4" t="s">
        <v>68</v>
      </c>
    </row>
    <row r="21" spans="1:2" x14ac:dyDescent="0.3">
      <c r="A21" s="4">
        <v>10530</v>
      </c>
      <c r="B21" s="4" t="s">
        <v>69</v>
      </c>
    </row>
    <row r="22" spans="1:2" x14ac:dyDescent="0.3">
      <c r="A22" s="4">
        <v>11503</v>
      </c>
      <c r="B22" s="4" t="s">
        <v>70</v>
      </c>
    </row>
    <row r="23" spans="1:2" x14ac:dyDescent="0.3">
      <c r="A23" s="4">
        <v>2008</v>
      </c>
      <c r="B23" s="4" t="s">
        <v>71</v>
      </c>
    </row>
    <row r="24" spans="1:2" x14ac:dyDescent="0.3">
      <c r="A24" s="4">
        <v>10175</v>
      </c>
      <c r="B24" s="4" t="s">
        <v>72</v>
      </c>
    </row>
    <row r="25" spans="1:2" x14ac:dyDescent="0.3">
      <c r="A25" s="4">
        <v>22675</v>
      </c>
      <c r="B25" s="4" t="s">
        <v>73</v>
      </c>
    </row>
    <row r="26" spans="1:2" x14ac:dyDescent="0.3">
      <c r="A26" s="4">
        <v>21956</v>
      </c>
      <c r="B26" s="4" t="s">
        <v>74</v>
      </c>
    </row>
    <row r="27" spans="1:2" x14ac:dyDescent="0.3">
      <c r="A27" s="4">
        <v>21788</v>
      </c>
      <c r="B27" s="4" t="s">
        <v>75</v>
      </c>
    </row>
    <row r="28" spans="1:2" x14ac:dyDescent="0.3">
      <c r="A28" s="4">
        <v>13194</v>
      </c>
      <c r="B28" s="4" t="s">
        <v>76</v>
      </c>
    </row>
    <row r="29" spans="1:2" x14ac:dyDescent="0.3">
      <c r="A29" s="4">
        <v>33738</v>
      </c>
      <c r="B29" s="4" t="s">
        <v>77</v>
      </c>
    </row>
    <row r="30" spans="1:2" x14ac:dyDescent="0.3">
      <c r="A30" s="4">
        <v>33734</v>
      </c>
      <c r="B30" s="4" t="s">
        <v>78</v>
      </c>
    </row>
    <row r="31" spans="1:2" x14ac:dyDescent="0.3">
      <c r="A31" s="4">
        <v>32361</v>
      </c>
      <c r="B31" s="4" t="s">
        <v>79</v>
      </c>
    </row>
    <row r="32" spans="1:2" x14ac:dyDescent="0.3">
      <c r="A32" s="4">
        <v>32349</v>
      </c>
      <c r="B32" s="4" t="s">
        <v>80</v>
      </c>
    </row>
    <row r="33" spans="1:2" x14ac:dyDescent="0.3">
      <c r="A33" s="4">
        <v>20531</v>
      </c>
      <c r="B33" s="4" t="s">
        <v>81</v>
      </c>
    </row>
    <row r="34" spans="1:2" x14ac:dyDescent="0.3">
      <c r="A34" s="4">
        <v>20072</v>
      </c>
      <c r="B34" s="4" t="s">
        <v>82</v>
      </c>
    </row>
    <row r="35" spans="1:2" x14ac:dyDescent="0.3">
      <c r="A35" s="4">
        <v>20537</v>
      </c>
      <c r="B35" s="4" t="s">
        <v>83</v>
      </c>
    </row>
    <row r="36" spans="1:2" x14ac:dyDescent="0.3">
      <c r="A36" s="4">
        <v>17757</v>
      </c>
      <c r="B36" s="4" t="s">
        <v>84</v>
      </c>
    </row>
    <row r="37" spans="1:2" x14ac:dyDescent="0.3">
      <c r="A37" s="4">
        <v>21886</v>
      </c>
      <c r="B37" s="4" t="s">
        <v>85</v>
      </c>
    </row>
    <row r="38" spans="1:2" x14ac:dyDescent="0.3">
      <c r="A38" s="4">
        <v>26401</v>
      </c>
      <c r="B38" s="4" t="s">
        <v>86</v>
      </c>
    </row>
    <row r="39" spans="1:2" x14ac:dyDescent="0.3">
      <c r="A39" s="4">
        <v>16503</v>
      </c>
      <c r="B39" s="4" t="s">
        <v>87</v>
      </c>
    </row>
    <row r="40" spans="1:2" x14ac:dyDescent="0.3">
      <c r="A40" s="4">
        <v>10537</v>
      </c>
      <c r="B40" s="4" t="s">
        <v>88</v>
      </c>
    </row>
    <row r="41" spans="1:2" x14ac:dyDescent="0.3">
      <c r="A41" s="4">
        <v>17266</v>
      </c>
      <c r="B41" s="4" t="s">
        <v>89</v>
      </c>
    </row>
    <row r="42" spans="1:2" x14ac:dyDescent="0.3">
      <c r="A42" s="4">
        <v>9072</v>
      </c>
      <c r="B42" s="4" t="s">
        <v>90</v>
      </c>
    </row>
    <row r="43" spans="1:2" x14ac:dyDescent="0.3">
      <c r="A43" s="4">
        <v>988</v>
      </c>
      <c r="B43" s="4" t="s">
        <v>91</v>
      </c>
    </row>
    <row r="44" spans="1:2" x14ac:dyDescent="0.3">
      <c r="A44" s="4">
        <v>1695</v>
      </c>
      <c r="B44" s="4" t="s">
        <v>92</v>
      </c>
    </row>
    <row r="45" spans="1:2" x14ac:dyDescent="0.3">
      <c r="A45" s="4">
        <v>13201</v>
      </c>
      <c r="B45" s="4" t="s">
        <v>93</v>
      </c>
    </row>
    <row r="46" spans="1:2" x14ac:dyDescent="0.3">
      <c r="A46" s="4">
        <v>17797</v>
      </c>
      <c r="B46" s="4" t="s">
        <v>94</v>
      </c>
    </row>
    <row r="47" spans="1:2" x14ac:dyDescent="0.3">
      <c r="A47" s="4">
        <v>9069</v>
      </c>
      <c r="B47" s="4" t="s">
        <v>95</v>
      </c>
    </row>
    <row r="48" spans="1:2" x14ac:dyDescent="0.3">
      <c r="A48" s="4">
        <v>279</v>
      </c>
      <c r="B48" s="4" t="s">
        <v>96</v>
      </c>
    </row>
    <row r="49" spans="1:2" x14ac:dyDescent="0.3">
      <c r="A49" s="4">
        <v>1898</v>
      </c>
      <c r="B49" s="4" t="s">
        <v>97</v>
      </c>
    </row>
    <row r="50" spans="1:2" x14ac:dyDescent="0.3">
      <c r="A50" s="4">
        <v>9320</v>
      </c>
      <c r="B50" s="4" t="s">
        <v>98</v>
      </c>
    </row>
    <row r="51" spans="1:2" x14ac:dyDescent="0.3">
      <c r="A51" s="4">
        <v>22618</v>
      </c>
      <c r="B51" s="4" t="s">
        <v>99</v>
      </c>
    </row>
    <row r="52" spans="1:2" x14ac:dyDescent="0.3">
      <c r="A52" s="4">
        <v>13578</v>
      </c>
      <c r="B52" s="4" t="s">
        <v>100</v>
      </c>
    </row>
    <row r="53" spans="1:2" x14ac:dyDescent="0.3">
      <c r="A53" s="4">
        <v>12948</v>
      </c>
      <c r="B53" s="4" t="s">
        <v>101</v>
      </c>
    </row>
    <row r="54" spans="1:2" x14ac:dyDescent="0.3">
      <c r="A54" s="4">
        <v>12951</v>
      </c>
      <c r="B54" s="4" t="s">
        <v>102</v>
      </c>
    </row>
    <row r="55" spans="1:2" x14ac:dyDescent="0.3">
      <c r="A55" s="4">
        <v>31075</v>
      </c>
      <c r="B55" s="4" t="s">
        <v>103</v>
      </c>
    </row>
    <row r="56" spans="1:2" x14ac:dyDescent="0.3">
      <c r="A56" s="4">
        <v>20329</v>
      </c>
      <c r="B56" s="4" t="s">
        <v>104</v>
      </c>
    </row>
    <row r="57" spans="1:2" x14ac:dyDescent="0.3">
      <c r="A57" s="4">
        <v>20533</v>
      </c>
      <c r="B57" s="4" t="s">
        <v>105</v>
      </c>
    </row>
    <row r="58" spans="1:2" x14ac:dyDescent="0.3">
      <c r="A58" s="4">
        <v>20549</v>
      </c>
      <c r="B58" s="4" t="s">
        <v>106</v>
      </c>
    </row>
    <row r="59" spans="1:2" x14ac:dyDescent="0.3">
      <c r="A59" s="4">
        <v>20647</v>
      </c>
      <c r="B59" s="4" t="s">
        <v>107</v>
      </c>
    </row>
    <row r="60" spans="1:2" x14ac:dyDescent="0.3">
      <c r="A60" s="4">
        <v>20498</v>
      </c>
      <c r="B60" s="4" t="s">
        <v>108</v>
      </c>
    </row>
    <row r="61" spans="1:2" x14ac:dyDescent="0.3">
      <c r="A61" s="4">
        <v>31051</v>
      </c>
      <c r="B61" s="4" t="s">
        <v>109</v>
      </c>
    </row>
    <row r="62" spans="1:2" x14ac:dyDescent="0.3">
      <c r="A62" s="4">
        <v>30103</v>
      </c>
      <c r="B62" s="4" t="s">
        <v>110</v>
      </c>
    </row>
    <row r="63" spans="1:2" x14ac:dyDescent="0.3">
      <c r="A63" s="4">
        <v>31795</v>
      </c>
      <c r="B63" s="4" t="s">
        <v>111</v>
      </c>
    </row>
    <row r="64" spans="1:2" x14ac:dyDescent="0.3">
      <c r="A64" s="4">
        <v>30854</v>
      </c>
      <c r="B64" s="4" t="s">
        <v>112</v>
      </c>
    </row>
    <row r="65" spans="1:2" x14ac:dyDescent="0.3">
      <c r="A65" s="4">
        <v>30856</v>
      </c>
      <c r="B65" s="4" t="s">
        <v>113</v>
      </c>
    </row>
    <row r="66" spans="1:2" x14ac:dyDescent="0.3">
      <c r="A66" s="4">
        <v>30852</v>
      </c>
      <c r="B66" s="4" t="s">
        <v>114</v>
      </c>
    </row>
    <row r="67" spans="1:2" x14ac:dyDescent="0.3">
      <c r="A67" s="4">
        <v>32648</v>
      </c>
      <c r="B67" s="4" t="s">
        <v>115</v>
      </c>
    </row>
    <row r="68" spans="1:2" x14ac:dyDescent="0.3">
      <c r="A68" s="4">
        <v>32646</v>
      </c>
      <c r="B68" s="4" t="s">
        <v>116</v>
      </c>
    </row>
    <row r="69" spans="1:2" x14ac:dyDescent="0.3">
      <c r="A69" s="4">
        <v>32644</v>
      </c>
      <c r="B69" s="4" t="s">
        <v>117</v>
      </c>
    </row>
    <row r="70" spans="1:2" x14ac:dyDescent="0.3">
      <c r="A70" s="4">
        <v>2548</v>
      </c>
      <c r="B70" s="4" t="s">
        <v>118</v>
      </c>
    </row>
    <row r="71" spans="1:2" x14ac:dyDescent="0.3">
      <c r="A71" s="4">
        <v>29703</v>
      </c>
      <c r="B71" s="4" t="s">
        <v>119</v>
      </c>
    </row>
    <row r="72" spans="1:2" x14ac:dyDescent="0.3">
      <c r="A72" s="4">
        <v>13307</v>
      </c>
      <c r="B72" s="4" t="s">
        <v>120</v>
      </c>
    </row>
    <row r="73" spans="1:2" x14ac:dyDescent="0.3">
      <c r="A73" s="4">
        <v>13839</v>
      </c>
      <c r="B73" s="4" t="s">
        <v>121</v>
      </c>
    </row>
    <row r="74" spans="1:2" x14ac:dyDescent="0.3">
      <c r="A74" s="4">
        <v>14135</v>
      </c>
      <c r="B74" s="4" t="s">
        <v>122</v>
      </c>
    </row>
    <row r="75" spans="1:2" x14ac:dyDescent="0.3">
      <c r="A75" s="4">
        <v>21020</v>
      </c>
      <c r="B75" s="4" t="s">
        <v>123</v>
      </c>
    </row>
    <row r="76" spans="1:2" x14ac:dyDescent="0.3">
      <c r="A76" s="4">
        <v>17808</v>
      </c>
      <c r="B76" s="4" t="s">
        <v>124</v>
      </c>
    </row>
    <row r="77" spans="1:2" x14ac:dyDescent="0.3">
      <c r="A77" s="4">
        <v>22180</v>
      </c>
      <c r="B77" s="4" t="s">
        <v>125</v>
      </c>
    </row>
    <row r="78" spans="1:2" x14ac:dyDescent="0.3">
      <c r="A78" s="4">
        <v>22177</v>
      </c>
      <c r="B78" s="4" t="s">
        <v>126</v>
      </c>
    </row>
    <row r="79" spans="1:2" x14ac:dyDescent="0.3">
      <c r="A79" s="4">
        <v>25220</v>
      </c>
      <c r="B79" s="4" t="s">
        <v>127</v>
      </c>
    </row>
    <row r="80" spans="1:2" x14ac:dyDescent="0.3">
      <c r="A80" s="4">
        <v>9071</v>
      </c>
      <c r="B80" s="4" t="s">
        <v>128</v>
      </c>
    </row>
    <row r="81" spans="1:2" x14ac:dyDescent="0.3">
      <c r="A81" s="4">
        <v>23671</v>
      </c>
      <c r="B81" s="4" t="s">
        <v>129</v>
      </c>
    </row>
    <row r="82" spans="1:2" x14ac:dyDescent="0.3">
      <c r="A82" s="4">
        <v>23672</v>
      </c>
      <c r="B82" s="4" t="s">
        <v>130</v>
      </c>
    </row>
    <row r="83" spans="1:2" x14ac:dyDescent="0.3">
      <c r="A83" s="4">
        <v>23673</v>
      </c>
      <c r="B83" s="4" t="s">
        <v>131</v>
      </c>
    </row>
    <row r="84" spans="1:2" x14ac:dyDescent="0.3">
      <c r="A84" s="4">
        <v>23674</v>
      </c>
      <c r="B84" s="4" t="s">
        <v>132</v>
      </c>
    </row>
    <row r="85" spans="1:2" x14ac:dyDescent="0.3">
      <c r="A85" s="4">
        <v>22009</v>
      </c>
      <c r="B85" s="4" t="s">
        <v>133</v>
      </c>
    </row>
    <row r="86" spans="1:2" x14ac:dyDescent="0.3">
      <c r="A86" s="4">
        <v>24578</v>
      </c>
      <c r="B86" s="4" t="s">
        <v>134</v>
      </c>
    </row>
    <row r="87" spans="1:2" x14ac:dyDescent="0.3">
      <c r="A87" s="4">
        <v>21955</v>
      </c>
      <c r="B87" s="4" t="s">
        <v>135</v>
      </c>
    </row>
    <row r="88" spans="1:2" x14ac:dyDescent="0.3">
      <c r="A88" s="4">
        <v>8776</v>
      </c>
      <c r="B88" s="4" t="s">
        <v>136</v>
      </c>
    </row>
    <row r="89" spans="1:2" x14ac:dyDescent="0.3">
      <c r="A89" s="4">
        <v>828</v>
      </c>
      <c r="B89" s="4" t="s">
        <v>137</v>
      </c>
    </row>
    <row r="90" spans="1:2" x14ac:dyDescent="0.3">
      <c r="A90" s="4">
        <v>838</v>
      </c>
      <c r="B90" s="4" t="s">
        <v>138</v>
      </c>
    </row>
    <row r="91" spans="1:2" x14ac:dyDescent="0.3">
      <c r="A91" s="4">
        <v>827</v>
      </c>
      <c r="B91" s="4" t="s">
        <v>139</v>
      </c>
    </row>
    <row r="92" spans="1:2" x14ac:dyDescent="0.3">
      <c r="A92" s="4">
        <v>8037</v>
      </c>
      <c r="B92" s="4" t="s">
        <v>140</v>
      </c>
    </row>
    <row r="93" spans="1:2" x14ac:dyDescent="0.3">
      <c r="A93" s="4">
        <v>19520</v>
      </c>
      <c r="B93" s="4" t="s">
        <v>141</v>
      </c>
    </row>
    <row r="94" spans="1:2" x14ac:dyDescent="0.3">
      <c r="A94" s="4">
        <v>17326</v>
      </c>
      <c r="B94" s="4" t="s">
        <v>142</v>
      </c>
    </row>
    <row r="95" spans="1:2" x14ac:dyDescent="0.3">
      <c r="A95" s="4">
        <v>17324</v>
      </c>
      <c r="B95" s="4" t="s">
        <v>143</v>
      </c>
    </row>
    <row r="96" spans="1:2" x14ac:dyDescent="0.3">
      <c r="A96" s="4">
        <v>17328</v>
      </c>
      <c r="B96" s="4" t="s">
        <v>144</v>
      </c>
    </row>
    <row r="97" spans="1:2" x14ac:dyDescent="0.3">
      <c r="A97" s="4">
        <v>24208</v>
      </c>
      <c r="B97" s="4" t="s">
        <v>145</v>
      </c>
    </row>
    <row r="98" spans="1:2" x14ac:dyDescent="0.3">
      <c r="A98" s="4">
        <v>22027</v>
      </c>
      <c r="B98" s="4" t="s">
        <v>146</v>
      </c>
    </row>
    <row r="99" spans="1:2" x14ac:dyDescent="0.3">
      <c r="A99" s="4">
        <v>14550</v>
      </c>
      <c r="B99" s="4" t="s">
        <v>147</v>
      </c>
    </row>
    <row r="100" spans="1:2" x14ac:dyDescent="0.3">
      <c r="A100" s="4">
        <v>14554</v>
      </c>
      <c r="B100" s="4" t="s">
        <v>148</v>
      </c>
    </row>
    <row r="101" spans="1:2" x14ac:dyDescent="0.3">
      <c r="A101" s="4">
        <v>21678</v>
      </c>
      <c r="B101" s="4" t="s">
        <v>149</v>
      </c>
    </row>
    <row r="102" spans="1:2" x14ac:dyDescent="0.3">
      <c r="A102" s="4">
        <v>14552</v>
      </c>
      <c r="B102" s="4" t="s">
        <v>150</v>
      </c>
    </row>
    <row r="103" spans="1:2" x14ac:dyDescent="0.3">
      <c r="A103" s="4">
        <v>21501</v>
      </c>
      <c r="B103" s="4" t="s">
        <v>151</v>
      </c>
    </row>
    <row r="104" spans="1:2" x14ac:dyDescent="0.3">
      <c r="A104" s="4">
        <v>20853</v>
      </c>
      <c r="B104" s="4" t="s">
        <v>152</v>
      </c>
    </row>
    <row r="105" spans="1:2" x14ac:dyDescent="0.3">
      <c r="A105" s="4">
        <v>19166</v>
      </c>
      <c r="B105" s="4" t="s">
        <v>153</v>
      </c>
    </row>
    <row r="106" spans="1:2" x14ac:dyDescent="0.3">
      <c r="A106" s="4">
        <v>19822</v>
      </c>
      <c r="B106" s="4" t="s">
        <v>154</v>
      </c>
    </row>
    <row r="107" spans="1:2" x14ac:dyDescent="0.3">
      <c r="A107" s="4">
        <v>14556</v>
      </c>
      <c r="B107" s="4" t="s">
        <v>155</v>
      </c>
    </row>
    <row r="108" spans="1:2" x14ac:dyDescent="0.3">
      <c r="A108" s="4">
        <v>27866</v>
      </c>
      <c r="B108" s="4" t="s">
        <v>156</v>
      </c>
    </row>
    <row r="109" spans="1:2" x14ac:dyDescent="0.3">
      <c r="A109" s="4">
        <v>34263</v>
      </c>
      <c r="B109" s="4" t="s">
        <v>157</v>
      </c>
    </row>
    <row r="110" spans="1:2" x14ac:dyDescent="0.3">
      <c r="A110" s="4">
        <v>32749</v>
      </c>
      <c r="B110" s="4" t="s">
        <v>158</v>
      </c>
    </row>
    <row r="111" spans="1:2" x14ac:dyDescent="0.3">
      <c r="A111" s="4">
        <v>26762</v>
      </c>
      <c r="B111" s="4" t="s">
        <v>159</v>
      </c>
    </row>
    <row r="112" spans="1:2" x14ac:dyDescent="0.3">
      <c r="A112" s="4">
        <v>26446</v>
      </c>
      <c r="B112" s="4" t="s">
        <v>160</v>
      </c>
    </row>
    <row r="113" spans="1:2" x14ac:dyDescent="0.3">
      <c r="A113" s="4">
        <v>31856</v>
      </c>
      <c r="B113" s="4" t="s">
        <v>161</v>
      </c>
    </row>
    <row r="114" spans="1:2" x14ac:dyDescent="0.3">
      <c r="A114" s="4">
        <v>32785</v>
      </c>
      <c r="B114" s="4" t="s">
        <v>162</v>
      </c>
    </row>
    <row r="115" spans="1:2" x14ac:dyDescent="0.3">
      <c r="A115" s="4">
        <v>18836</v>
      </c>
      <c r="B115" s="4" t="s">
        <v>163</v>
      </c>
    </row>
    <row r="116" spans="1:2" x14ac:dyDescent="0.3">
      <c r="A116" s="4">
        <v>20651</v>
      </c>
      <c r="B116" s="4" t="s">
        <v>164</v>
      </c>
    </row>
    <row r="117" spans="1:2" x14ac:dyDescent="0.3">
      <c r="A117" s="4">
        <v>18780</v>
      </c>
      <c r="B117" s="4" t="s">
        <v>165</v>
      </c>
    </row>
    <row r="118" spans="1:2" x14ac:dyDescent="0.3">
      <c r="A118" s="4">
        <v>22835</v>
      </c>
      <c r="B118" s="4" t="s">
        <v>166</v>
      </c>
    </row>
    <row r="119" spans="1:2" x14ac:dyDescent="0.3">
      <c r="A119" s="4">
        <v>33214</v>
      </c>
      <c r="B119" s="4" t="s">
        <v>167</v>
      </c>
    </row>
    <row r="120" spans="1:2" x14ac:dyDescent="0.3">
      <c r="A120" s="4">
        <v>23562</v>
      </c>
      <c r="B120" s="4" t="s">
        <v>168</v>
      </c>
    </row>
    <row r="121" spans="1:2" x14ac:dyDescent="0.3">
      <c r="A121" s="4">
        <v>23560</v>
      </c>
      <c r="B121" s="4" t="s">
        <v>169</v>
      </c>
    </row>
    <row r="122" spans="1:2" x14ac:dyDescent="0.3">
      <c r="A122" s="4">
        <v>33213</v>
      </c>
      <c r="B122" s="4" t="s">
        <v>170</v>
      </c>
    </row>
    <row r="123" spans="1:2" x14ac:dyDescent="0.3">
      <c r="A123" s="4">
        <v>33215</v>
      </c>
      <c r="B123" s="4" t="s">
        <v>171</v>
      </c>
    </row>
    <row r="124" spans="1:2" x14ac:dyDescent="0.3">
      <c r="A124" s="4">
        <v>33218</v>
      </c>
      <c r="B124" s="4" t="s">
        <v>172</v>
      </c>
    </row>
    <row r="125" spans="1:2" x14ac:dyDescent="0.3">
      <c r="A125" s="4">
        <v>33216</v>
      </c>
      <c r="B125" s="4" t="s">
        <v>173</v>
      </c>
    </row>
    <row r="126" spans="1:2" x14ac:dyDescent="0.3">
      <c r="A126" s="4">
        <v>23564</v>
      </c>
      <c r="B126" s="4" t="s">
        <v>174</v>
      </c>
    </row>
    <row r="127" spans="1:2" x14ac:dyDescent="0.3">
      <c r="A127" s="4">
        <v>33217</v>
      </c>
      <c r="B127" s="4" t="s">
        <v>175</v>
      </c>
    </row>
    <row r="128" spans="1:2" x14ac:dyDescent="0.3">
      <c r="A128" s="4">
        <v>22562</v>
      </c>
      <c r="B128" s="4" t="s">
        <v>176</v>
      </c>
    </row>
    <row r="129" spans="1:2" x14ac:dyDescent="0.3">
      <c r="A129" s="4">
        <v>2544</v>
      </c>
      <c r="B129" s="4" t="s">
        <v>177</v>
      </c>
    </row>
    <row r="130" spans="1:2" x14ac:dyDescent="0.3">
      <c r="A130" s="4">
        <v>34654</v>
      </c>
      <c r="B130" s="4" t="s">
        <v>178</v>
      </c>
    </row>
    <row r="131" spans="1:2" x14ac:dyDescent="0.3">
      <c r="A131" s="4">
        <v>34459</v>
      </c>
      <c r="B131" s="4" t="s">
        <v>179</v>
      </c>
    </row>
    <row r="132" spans="1:2" x14ac:dyDescent="0.3">
      <c r="A132" s="4">
        <v>34405</v>
      </c>
      <c r="B132" s="4" t="s">
        <v>180</v>
      </c>
    </row>
    <row r="133" spans="1:2" x14ac:dyDescent="0.3">
      <c r="A133" s="4">
        <v>34415</v>
      </c>
      <c r="B133" s="4" t="s">
        <v>181</v>
      </c>
    </row>
    <row r="134" spans="1:2" x14ac:dyDescent="0.3">
      <c r="A134" s="4">
        <v>34416</v>
      </c>
      <c r="B134" s="4" t="s">
        <v>182</v>
      </c>
    </row>
    <row r="135" spans="1:2" x14ac:dyDescent="0.3">
      <c r="A135" s="4">
        <v>34460</v>
      </c>
      <c r="B135" s="4" t="s">
        <v>183</v>
      </c>
    </row>
    <row r="136" spans="1:2" x14ac:dyDescent="0.3">
      <c r="A136" s="4">
        <v>34417</v>
      </c>
      <c r="B136" s="4" t="s">
        <v>184</v>
      </c>
    </row>
    <row r="137" spans="1:2" x14ac:dyDescent="0.3">
      <c r="A137" s="4">
        <v>25700</v>
      </c>
      <c r="B137" s="4" t="s">
        <v>185</v>
      </c>
    </row>
    <row r="138" spans="1:2" x14ac:dyDescent="0.3">
      <c r="A138" s="4">
        <v>31272</v>
      </c>
      <c r="B138" s="4" t="s">
        <v>186</v>
      </c>
    </row>
    <row r="139" spans="1:2" x14ac:dyDescent="0.3">
      <c r="A139" s="4">
        <v>32425</v>
      </c>
      <c r="B139" s="4" t="s">
        <v>187</v>
      </c>
    </row>
    <row r="140" spans="1:2" x14ac:dyDescent="0.3">
      <c r="A140" s="4">
        <v>31962</v>
      </c>
      <c r="B140" s="4" t="s">
        <v>188</v>
      </c>
    </row>
    <row r="141" spans="1:2" x14ac:dyDescent="0.3">
      <c r="A141" s="4">
        <v>13486</v>
      </c>
      <c r="B141" s="4" t="s">
        <v>189</v>
      </c>
    </row>
    <row r="142" spans="1:2" x14ac:dyDescent="0.3">
      <c r="A142" s="4">
        <v>25303</v>
      </c>
      <c r="B142" s="4" t="s">
        <v>190</v>
      </c>
    </row>
    <row r="143" spans="1:2" x14ac:dyDescent="0.3">
      <c r="A143" s="4">
        <v>32067</v>
      </c>
      <c r="B143" s="4" t="s">
        <v>191</v>
      </c>
    </row>
    <row r="144" spans="1:2" x14ac:dyDescent="0.3">
      <c r="A144" s="4">
        <v>7979</v>
      </c>
      <c r="B144" s="4" t="s">
        <v>192</v>
      </c>
    </row>
    <row r="145" spans="1:2" x14ac:dyDescent="0.3">
      <c r="A145" s="4">
        <v>7981</v>
      </c>
      <c r="B145" s="4" t="s">
        <v>193</v>
      </c>
    </row>
    <row r="146" spans="1:2" x14ac:dyDescent="0.3">
      <c r="A146" s="4">
        <v>7982</v>
      </c>
      <c r="B146" s="4" t="s">
        <v>194</v>
      </c>
    </row>
    <row r="147" spans="1:2" x14ac:dyDescent="0.3">
      <c r="A147" s="4">
        <v>7985</v>
      </c>
      <c r="B147" s="4" t="s">
        <v>195</v>
      </c>
    </row>
    <row r="148" spans="1:2" x14ac:dyDescent="0.3">
      <c r="A148" s="4">
        <v>23731</v>
      </c>
      <c r="B148" s="4" t="s">
        <v>196</v>
      </c>
    </row>
    <row r="149" spans="1:2" x14ac:dyDescent="0.3">
      <c r="A149" s="4">
        <v>7983</v>
      </c>
      <c r="B149" s="4" t="s">
        <v>197</v>
      </c>
    </row>
    <row r="150" spans="1:2" x14ac:dyDescent="0.3">
      <c r="A150" s="4">
        <v>7980</v>
      </c>
      <c r="B150" s="4" t="s">
        <v>198</v>
      </c>
    </row>
    <row r="151" spans="1:2" x14ac:dyDescent="0.3">
      <c r="A151" s="4">
        <v>7977</v>
      </c>
      <c r="B151" s="4" t="s">
        <v>199</v>
      </c>
    </row>
    <row r="152" spans="1:2" x14ac:dyDescent="0.3">
      <c r="A152" s="4">
        <v>29495</v>
      </c>
      <c r="B152" s="4" t="s">
        <v>200</v>
      </c>
    </row>
    <row r="153" spans="1:2" x14ac:dyDescent="0.3">
      <c r="A153" s="4">
        <v>29493</v>
      </c>
      <c r="B153" s="4" t="s">
        <v>201</v>
      </c>
    </row>
    <row r="154" spans="1:2" x14ac:dyDescent="0.3">
      <c r="A154" s="4">
        <v>25546</v>
      </c>
      <c r="B154" s="4" t="s">
        <v>202</v>
      </c>
    </row>
    <row r="155" spans="1:2" x14ac:dyDescent="0.3">
      <c r="A155" s="4">
        <v>18142</v>
      </c>
      <c r="B155" s="4" t="s">
        <v>203</v>
      </c>
    </row>
    <row r="156" spans="1:2" x14ac:dyDescent="0.3">
      <c r="A156" s="4">
        <v>27001</v>
      </c>
      <c r="B156" s="4" t="s">
        <v>204</v>
      </c>
    </row>
    <row r="157" spans="1:2" x14ac:dyDescent="0.3">
      <c r="A157" s="4">
        <v>23556</v>
      </c>
      <c r="B157" s="4" t="s">
        <v>205</v>
      </c>
    </row>
    <row r="158" spans="1:2" x14ac:dyDescent="0.3">
      <c r="A158" s="4">
        <v>23554</v>
      </c>
      <c r="B158" s="4" t="s">
        <v>206</v>
      </c>
    </row>
    <row r="159" spans="1:2" x14ac:dyDescent="0.3">
      <c r="A159" s="4">
        <v>33220</v>
      </c>
      <c r="B159" s="4" t="s">
        <v>207</v>
      </c>
    </row>
    <row r="160" spans="1:2" x14ac:dyDescent="0.3">
      <c r="A160" s="4">
        <v>26699</v>
      </c>
      <c r="B160" s="4" t="s">
        <v>208</v>
      </c>
    </row>
    <row r="161" spans="1:2" x14ac:dyDescent="0.3">
      <c r="A161" s="4">
        <v>34320</v>
      </c>
      <c r="B161" s="4" t="s">
        <v>209</v>
      </c>
    </row>
    <row r="162" spans="1:2" x14ac:dyDescent="0.3">
      <c r="A162" s="4">
        <v>19321</v>
      </c>
      <c r="B162" s="4" t="s">
        <v>210</v>
      </c>
    </row>
    <row r="163" spans="1:2" x14ac:dyDescent="0.3">
      <c r="A163" s="4">
        <v>2250</v>
      </c>
      <c r="B163" s="4" t="s">
        <v>211</v>
      </c>
    </row>
    <row r="164" spans="1:2" x14ac:dyDescent="0.3">
      <c r="A164" s="4">
        <v>34027</v>
      </c>
      <c r="B164" s="4" t="s">
        <v>212</v>
      </c>
    </row>
    <row r="165" spans="1:2" x14ac:dyDescent="0.3">
      <c r="A165" s="4">
        <v>18390</v>
      </c>
      <c r="B165" s="4" t="s">
        <v>213</v>
      </c>
    </row>
    <row r="166" spans="1:2" x14ac:dyDescent="0.3">
      <c r="A166" s="4">
        <v>2243</v>
      </c>
      <c r="B166" s="4" t="s">
        <v>214</v>
      </c>
    </row>
    <row r="167" spans="1:2" x14ac:dyDescent="0.3">
      <c r="A167" s="4">
        <v>9085</v>
      </c>
      <c r="B167" s="4" t="s">
        <v>215</v>
      </c>
    </row>
    <row r="168" spans="1:2" x14ac:dyDescent="0.3">
      <c r="A168" s="4">
        <v>8413</v>
      </c>
      <c r="B168" s="4" t="s">
        <v>216</v>
      </c>
    </row>
    <row r="169" spans="1:2" x14ac:dyDescent="0.3">
      <c r="A169" s="4">
        <v>9084</v>
      </c>
      <c r="B169" s="4" t="s">
        <v>217</v>
      </c>
    </row>
    <row r="170" spans="1:2" x14ac:dyDescent="0.3">
      <c r="A170" s="4">
        <v>21880</v>
      </c>
      <c r="B170" s="4" t="s">
        <v>218</v>
      </c>
    </row>
    <row r="171" spans="1:2" x14ac:dyDescent="0.3">
      <c r="A171" s="4">
        <v>2231</v>
      </c>
      <c r="B171" s="4" t="s">
        <v>219</v>
      </c>
    </row>
    <row r="172" spans="1:2" x14ac:dyDescent="0.3">
      <c r="A172" s="4">
        <v>2353</v>
      </c>
      <c r="B172" s="4" t="s">
        <v>220</v>
      </c>
    </row>
    <row r="173" spans="1:2" x14ac:dyDescent="0.3">
      <c r="A173" s="4">
        <v>2585</v>
      </c>
      <c r="B173" s="4" t="s">
        <v>221</v>
      </c>
    </row>
    <row r="174" spans="1:2" x14ac:dyDescent="0.3">
      <c r="A174" s="4">
        <v>8411</v>
      </c>
      <c r="B174" s="4" t="s">
        <v>222</v>
      </c>
    </row>
    <row r="175" spans="1:2" x14ac:dyDescent="0.3">
      <c r="A175" s="4">
        <v>7947</v>
      </c>
      <c r="B175" s="4" t="s">
        <v>223</v>
      </c>
    </row>
    <row r="176" spans="1:2" x14ac:dyDescent="0.3">
      <c r="A176" s="4">
        <v>18152</v>
      </c>
      <c r="B176" s="4" t="s">
        <v>224</v>
      </c>
    </row>
    <row r="177" spans="1:2" x14ac:dyDescent="0.3">
      <c r="A177" s="4">
        <v>2349</v>
      </c>
      <c r="B177" s="4" t="s">
        <v>225</v>
      </c>
    </row>
    <row r="178" spans="1:2" x14ac:dyDescent="0.3">
      <c r="A178" s="4">
        <v>18137</v>
      </c>
      <c r="B178" s="4" t="s">
        <v>226</v>
      </c>
    </row>
    <row r="179" spans="1:2" x14ac:dyDescent="0.3">
      <c r="A179" s="4">
        <v>2132</v>
      </c>
      <c r="B179" s="4" t="s">
        <v>227</v>
      </c>
    </row>
    <row r="180" spans="1:2" x14ac:dyDescent="0.3">
      <c r="A180" s="4">
        <v>8919</v>
      </c>
      <c r="B180" s="4" t="s">
        <v>228</v>
      </c>
    </row>
    <row r="181" spans="1:2" x14ac:dyDescent="0.3">
      <c r="A181" s="4">
        <v>8921</v>
      </c>
      <c r="B181" s="4" t="s">
        <v>229</v>
      </c>
    </row>
    <row r="182" spans="1:2" x14ac:dyDescent="0.3">
      <c r="A182" s="4">
        <v>11103</v>
      </c>
      <c r="B182" s="4" t="s">
        <v>230</v>
      </c>
    </row>
    <row r="183" spans="1:2" x14ac:dyDescent="0.3">
      <c r="A183" s="4">
        <v>11102</v>
      </c>
      <c r="B183" s="4" t="s">
        <v>231</v>
      </c>
    </row>
    <row r="184" spans="1:2" x14ac:dyDescent="0.3">
      <c r="A184" s="4">
        <v>8793</v>
      </c>
      <c r="B184" s="4" t="s">
        <v>232</v>
      </c>
    </row>
    <row r="185" spans="1:2" x14ac:dyDescent="0.3">
      <c r="A185" s="4">
        <v>8791</v>
      </c>
      <c r="B185" s="4" t="s">
        <v>233</v>
      </c>
    </row>
    <row r="186" spans="1:2" x14ac:dyDescent="0.3">
      <c r="A186" s="4">
        <v>13065</v>
      </c>
      <c r="B186" s="4" t="s">
        <v>234</v>
      </c>
    </row>
    <row r="187" spans="1:2" x14ac:dyDescent="0.3">
      <c r="A187" s="4">
        <v>13061</v>
      </c>
      <c r="B187" s="4" t="s">
        <v>235</v>
      </c>
    </row>
    <row r="188" spans="1:2" x14ac:dyDescent="0.3">
      <c r="A188" s="4">
        <v>22003</v>
      </c>
      <c r="B188" s="4" t="s">
        <v>236</v>
      </c>
    </row>
    <row r="189" spans="1:2" x14ac:dyDescent="0.3">
      <c r="A189" s="4">
        <v>22007</v>
      </c>
      <c r="B189" s="4" t="s">
        <v>237</v>
      </c>
    </row>
    <row r="190" spans="1:2" x14ac:dyDescent="0.3">
      <c r="A190" s="4">
        <v>29733</v>
      </c>
      <c r="B190" s="4" t="s">
        <v>238</v>
      </c>
    </row>
    <row r="191" spans="1:2" x14ac:dyDescent="0.3">
      <c r="A191" s="4">
        <v>22005</v>
      </c>
      <c r="B191" s="4" t="s">
        <v>239</v>
      </c>
    </row>
    <row r="192" spans="1:2" x14ac:dyDescent="0.3">
      <c r="A192" s="4">
        <v>27177</v>
      </c>
      <c r="B192" s="4" t="s">
        <v>240</v>
      </c>
    </row>
    <row r="193" spans="1:2" x14ac:dyDescent="0.3">
      <c r="A193" s="4">
        <v>27179</v>
      </c>
      <c r="B193" s="4" t="s">
        <v>241</v>
      </c>
    </row>
    <row r="194" spans="1:2" x14ac:dyDescent="0.3">
      <c r="A194" s="4">
        <v>34410</v>
      </c>
      <c r="B194" s="4" t="s">
        <v>242</v>
      </c>
    </row>
    <row r="195" spans="1:2" x14ac:dyDescent="0.3">
      <c r="A195" s="4">
        <v>29932</v>
      </c>
      <c r="B195" s="4" t="s">
        <v>243</v>
      </c>
    </row>
    <row r="196" spans="1:2" x14ac:dyDescent="0.3">
      <c r="A196" s="4">
        <v>29734</v>
      </c>
      <c r="B196" s="4" t="s">
        <v>244</v>
      </c>
    </row>
    <row r="197" spans="1:2" x14ac:dyDescent="0.3">
      <c r="A197" s="4">
        <v>29930</v>
      </c>
      <c r="B197" s="4" t="s">
        <v>245</v>
      </c>
    </row>
    <row r="198" spans="1:2" x14ac:dyDescent="0.3">
      <c r="A198" s="4">
        <v>22235</v>
      </c>
      <c r="B198" s="4" t="s">
        <v>246</v>
      </c>
    </row>
    <row r="199" spans="1:2" x14ac:dyDescent="0.3">
      <c r="A199" s="4">
        <v>30191</v>
      </c>
      <c r="B199" s="4" t="s">
        <v>247</v>
      </c>
    </row>
    <row r="200" spans="1:2" x14ac:dyDescent="0.3">
      <c r="A200" s="4">
        <v>28600</v>
      </c>
      <c r="B200" s="4" t="s">
        <v>248</v>
      </c>
    </row>
    <row r="201" spans="1:2" x14ac:dyDescent="0.3">
      <c r="A201" s="4">
        <v>23030</v>
      </c>
      <c r="B201" s="4" t="s">
        <v>249</v>
      </c>
    </row>
    <row r="202" spans="1:2" x14ac:dyDescent="0.3">
      <c r="A202" s="4">
        <v>23029</v>
      </c>
      <c r="B202" s="4" t="s">
        <v>250</v>
      </c>
    </row>
    <row r="203" spans="1:2" x14ac:dyDescent="0.3">
      <c r="A203" s="4">
        <v>21778</v>
      </c>
      <c r="B203" s="4" t="s">
        <v>251</v>
      </c>
    </row>
    <row r="204" spans="1:2" x14ac:dyDescent="0.3">
      <c r="A204" s="4">
        <v>21526</v>
      </c>
      <c r="B204" s="4" t="s">
        <v>252</v>
      </c>
    </row>
    <row r="205" spans="1:2" x14ac:dyDescent="0.3">
      <c r="A205" s="4">
        <v>29518</v>
      </c>
      <c r="B205" s="4" t="s">
        <v>253</v>
      </c>
    </row>
    <row r="206" spans="1:2" x14ac:dyDescent="0.3">
      <c r="A206" s="4">
        <v>29990</v>
      </c>
      <c r="B206" s="4" t="s">
        <v>254</v>
      </c>
    </row>
    <row r="207" spans="1:2" x14ac:dyDescent="0.3">
      <c r="A207" s="4">
        <v>34178</v>
      </c>
      <c r="B207" s="4" t="s">
        <v>255</v>
      </c>
    </row>
    <row r="208" spans="1:2" x14ac:dyDescent="0.3">
      <c r="A208" s="4">
        <v>30898</v>
      </c>
      <c r="B208" s="4" t="s">
        <v>256</v>
      </c>
    </row>
    <row r="209" spans="1:2" x14ac:dyDescent="0.3">
      <c r="A209" s="4">
        <v>34180</v>
      </c>
      <c r="B209" s="4" t="s">
        <v>257</v>
      </c>
    </row>
    <row r="210" spans="1:2" x14ac:dyDescent="0.3">
      <c r="A210" s="4">
        <v>30977</v>
      </c>
      <c r="B210" s="4" t="s">
        <v>258</v>
      </c>
    </row>
    <row r="211" spans="1:2" x14ac:dyDescent="0.3">
      <c r="A211" s="4">
        <v>27175</v>
      </c>
      <c r="B211" s="4" t="s">
        <v>259</v>
      </c>
    </row>
    <row r="212" spans="1:2" x14ac:dyDescent="0.3">
      <c r="A212" s="4">
        <v>22501</v>
      </c>
      <c r="B212" s="4" t="s">
        <v>260</v>
      </c>
    </row>
    <row r="213" spans="1:2" x14ac:dyDescent="0.3">
      <c r="A213" s="4">
        <v>11190</v>
      </c>
      <c r="B213" s="4" t="s">
        <v>261</v>
      </c>
    </row>
    <row r="214" spans="1:2" x14ac:dyDescent="0.3">
      <c r="A214" s="4">
        <v>15917</v>
      </c>
      <c r="B214" s="4" t="s">
        <v>262</v>
      </c>
    </row>
    <row r="215" spans="1:2" x14ac:dyDescent="0.3">
      <c r="A215" s="4">
        <v>11191</v>
      </c>
      <c r="B215" s="4" t="s">
        <v>263</v>
      </c>
    </row>
    <row r="216" spans="1:2" x14ac:dyDescent="0.3">
      <c r="A216" s="4">
        <v>15915</v>
      </c>
      <c r="B216" s="4" t="s">
        <v>264</v>
      </c>
    </row>
    <row r="217" spans="1:2" x14ac:dyDescent="0.3">
      <c r="A217" s="4">
        <v>9081</v>
      </c>
      <c r="B217" s="4" t="s">
        <v>265</v>
      </c>
    </row>
    <row r="218" spans="1:2" x14ac:dyDescent="0.3">
      <c r="A218" s="4">
        <v>371</v>
      </c>
      <c r="B218" s="4" t="s">
        <v>266</v>
      </c>
    </row>
    <row r="219" spans="1:2" x14ac:dyDescent="0.3">
      <c r="A219" s="4">
        <v>24168</v>
      </c>
      <c r="B219" s="4" t="s">
        <v>267</v>
      </c>
    </row>
    <row r="220" spans="1:2" x14ac:dyDescent="0.3">
      <c r="A220" s="4">
        <v>4262</v>
      </c>
      <c r="B220" s="4" t="s">
        <v>268</v>
      </c>
    </row>
    <row r="221" spans="1:2" x14ac:dyDescent="0.3">
      <c r="A221" s="4">
        <v>23450</v>
      </c>
      <c r="B221" s="4" t="s">
        <v>269</v>
      </c>
    </row>
    <row r="222" spans="1:2" x14ac:dyDescent="0.3">
      <c r="A222" s="4">
        <v>23449</v>
      </c>
      <c r="B222" s="4" t="s">
        <v>270</v>
      </c>
    </row>
    <row r="223" spans="1:2" x14ac:dyDescent="0.3">
      <c r="A223" s="4">
        <v>27686</v>
      </c>
      <c r="B223" s="4" t="s">
        <v>271</v>
      </c>
    </row>
    <row r="224" spans="1:2" x14ac:dyDescent="0.3">
      <c r="A224" s="4">
        <v>27704</v>
      </c>
      <c r="B224" s="4" t="s">
        <v>272</v>
      </c>
    </row>
    <row r="225" spans="1:2" x14ac:dyDescent="0.3">
      <c r="A225" s="4">
        <v>28216</v>
      </c>
      <c r="B225" s="4" t="s">
        <v>273</v>
      </c>
    </row>
    <row r="226" spans="1:2" x14ac:dyDescent="0.3">
      <c r="A226" s="4">
        <v>28214</v>
      </c>
      <c r="B226" s="4" t="s">
        <v>274</v>
      </c>
    </row>
    <row r="227" spans="1:2" x14ac:dyDescent="0.3">
      <c r="A227" s="4">
        <v>22106</v>
      </c>
      <c r="B227" s="4" t="s">
        <v>275</v>
      </c>
    </row>
    <row r="228" spans="1:2" x14ac:dyDescent="0.3">
      <c r="A228" s="4">
        <v>21786</v>
      </c>
      <c r="B228" s="4" t="s">
        <v>276</v>
      </c>
    </row>
    <row r="229" spans="1:2" x14ac:dyDescent="0.3">
      <c r="A229" s="4">
        <v>22830</v>
      </c>
      <c r="B229" s="4" t="s">
        <v>277</v>
      </c>
    </row>
    <row r="230" spans="1:2" x14ac:dyDescent="0.3">
      <c r="A230" s="4">
        <v>23233</v>
      </c>
      <c r="B230" s="4" t="s">
        <v>278</v>
      </c>
    </row>
    <row r="231" spans="1:2" x14ac:dyDescent="0.3">
      <c r="A231" s="4">
        <v>23064</v>
      </c>
      <c r="B231" s="4" t="s">
        <v>279</v>
      </c>
    </row>
    <row r="232" spans="1:2" x14ac:dyDescent="0.3">
      <c r="A232" s="4">
        <v>33219</v>
      </c>
      <c r="B232" s="4" t="s">
        <v>280</v>
      </c>
    </row>
    <row r="233" spans="1:2" x14ac:dyDescent="0.3">
      <c r="A233" s="4">
        <v>21898</v>
      </c>
      <c r="B233" s="4" t="s">
        <v>281</v>
      </c>
    </row>
    <row r="234" spans="1:2" x14ac:dyDescent="0.3">
      <c r="A234" s="4">
        <v>21900</v>
      </c>
      <c r="B234" s="4" t="s">
        <v>282</v>
      </c>
    </row>
    <row r="235" spans="1:2" x14ac:dyDescent="0.3">
      <c r="A235" s="4">
        <v>21892</v>
      </c>
      <c r="B235" s="4" t="s">
        <v>283</v>
      </c>
    </row>
    <row r="236" spans="1:2" x14ac:dyDescent="0.3">
      <c r="A236" s="4">
        <v>21894</v>
      </c>
      <c r="B236" s="4" t="s">
        <v>284</v>
      </c>
    </row>
    <row r="237" spans="1:2" x14ac:dyDescent="0.3">
      <c r="A237" s="4">
        <v>25151</v>
      </c>
      <c r="B237" s="4" t="s">
        <v>285</v>
      </c>
    </row>
    <row r="238" spans="1:2" x14ac:dyDescent="0.3">
      <c r="A238" s="4">
        <v>28700</v>
      </c>
      <c r="B238" s="4" t="s">
        <v>286</v>
      </c>
    </row>
    <row r="239" spans="1:2" x14ac:dyDescent="0.3">
      <c r="A239" s="4">
        <v>2546</v>
      </c>
      <c r="B239" s="4" t="s">
        <v>287</v>
      </c>
    </row>
    <row r="240" spans="1:2" x14ac:dyDescent="0.3">
      <c r="A240" s="4">
        <v>29253</v>
      </c>
      <c r="B240" s="4" t="s">
        <v>288</v>
      </c>
    </row>
    <row r="241" spans="1:2" x14ac:dyDescent="0.3">
      <c r="A241" s="4">
        <v>20217</v>
      </c>
      <c r="B241" s="4" t="s">
        <v>289</v>
      </c>
    </row>
    <row r="242" spans="1:2" x14ac:dyDescent="0.3">
      <c r="A242" s="4">
        <v>19310</v>
      </c>
      <c r="B242" s="4" t="s">
        <v>290</v>
      </c>
    </row>
    <row r="243" spans="1:2" x14ac:dyDescent="0.3">
      <c r="A243" s="4">
        <v>20603</v>
      </c>
      <c r="B243" s="4" t="s">
        <v>291</v>
      </c>
    </row>
    <row r="244" spans="1:2" x14ac:dyDescent="0.3">
      <c r="A244" s="4">
        <v>33818</v>
      </c>
      <c r="B244" s="4" t="s">
        <v>292</v>
      </c>
    </row>
    <row r="245" spans="1:2" x14ac:dyDescent="0.3">
      <c r="A245" s="4">
        <v>26462</v>
      </c>
      <c r="B245" s="4" t="s">
        <v>293</v>
      </c>
    </row>
    <row r="246" spans="1:2" x14ac:dyDescent="0.3">
      <c r="A246" s="4">
        <v>14340</v>
      </c>
      <c r="B246" s="4" t="s">
        <v>294</v>
      </c>
    </row>
    <row r="247" spans="1:2" x14ac:dyDescent="0.3">
      <c r="A247" s="4">
        <v>8336</v>
      </c>
      <c r="B247" s="4" t="s">
        <v>295</v>
      </c>
    </row>
    <row r="248" spans="1:2" x14ac:dyDescent="0.3">
      <c r="A248" s="4">
        <v>21887</v>
      </c>
      <c r="B248" s="4" t="s">
        <v>296</v>
      </c>
    </row>
    <row r="249" spans="1:2" x14ac:dyDescent="0.3">
      <c r="A249" s="4">
        <v>21789</v>
      </c>
      <c r="B249" s="4" t="s">
        <v>297</v>
      </c>
    </row>
    <row r="250" spans="1:2" x14ac:dyDescent="0.3">
      <c r="A250" s="4">
        <v>22382</v>
      </c>
      <c r="B250" s="4" t="s">
        <v>298</v>
      </c>
    </row>
    <row r="251" spans="1:2" x14ac:dyDescent="0.3">
      <c r="A251" s="4">
        <v>18772</v>
      </c>
      <c r="B251" s="4" t="s">
        <v>299</v>
      </c>
    </row>
    <row r="252" spans="1:2" x14ac:dyDescent="0.3">
      <c r="A252" s="4">
        <v>23444</v>
      </c>
      <c r="B252" s="4" t="s">
        <v>300</v>
      </c>
    </row>
    <row r="253" spans="1:2" x14ac:dyDescent="0.3">
      <c r="A253" s="4">
        <v>18490</v>
      </c>
      <c r="B253" s="4" t="s">
        <v>301</v>
      </c>
    </row>
    <row r="254" spans="1:2" x14ac:dyDescent="0.3">
      <c r="A254" s="4">
        <v>17276</v>
      </c>
      <c r="B254" s="4" t="s">
        <v>302</v>
      </c>
    </row>
    <row r="255" spans="1:2" x14ac:dyDescent="0.3">
      <c r="A255" s="4">
        <v>18764</v>
      </c>
      <c r="B255" s="4" t="s">
        <v>303</v>
      </c>
    </row>
    <row r="256" spans="1:2" x14ac:dyDescent="0.3">
      <c r="A256" s="4">
        <v>18750</v>
      </c>
      <c r="B256" s="4" t="s">
        <v>304</v>
      </c>
    </row>
    <row r="257" spans="1:2" x14ac:dyDescent="0.3">
      <c r="A257" s="4">
        <v>17268</v>
      </c>
      <c r="B257" s="4" t="s">
        <v>305</v>
      </c>
    </row>
    <row r="258" spans="1:2" x14ac:dyDescent="0.3">
      <c r="A258" s="4">
        <v>24158</v>
      </c>
      <c r="B258" s="4" t="s">
        <v>306</v>
      </c>
    </row>
    <row r="259" spans="1:2" x14ac:dyDescent="0.3">
      <c r="A259" s="4">
        <v>4221</v>
      </c>
      <c r="B259" s="4" t="s">
        <v>307</v>
      </c>
    </row>
    <row r="260" spans="1:2" x14ac:dyDescent="0.3">
      <c r="A260" s="4">
        <v>23216</v>
      </c>
      <c r="B260" s="4" t="s">
        <v>308</v>
      </c>
    </row>
    <row r="261" spans="1:2" x14ac:dyDescent="0.3">
      <c r="A261" s="4">
        <v>23218</v>
      </c>
      <c r="B261" s="4" t="s">
        <v>309</v>
      </c>
    </row>
    <row r="262" spans="1:2" x14ac:dyDescent="0.3">
      <c r="A262" s="4">
        <v>23220</v>
      </c>
      <c r="B262" s="4" t="s">
        <v>310</v>
      </c>
    </row>
    <row r="263" spans="1:2" x14ac:dyDescent="0.3">
      <c r="A263" s="4">
        <v>17278</v>
      </c>
      <c r="B263" s="4" t="s">
        <v>311</v>
      </c>
    </row>
    <row r="264" spans="1:2" x14ac:dyDescent="0.3">
      <c r="A264" s="4">
        <v>18765</v>
      </c>
      <c r="B264" s="4" t="s">
        <v>312</v>
      </c>
    </row>
    <row r="265" spans="1:2" x14ac:dyDescent="0.3">
      <c r="A265" s="4">
        <v>18752</v>
      </c>
      <c r="B265" s="4" t="s">
        <v>313</v>
      </c>
    </row>
    <row r="266" spans="1:2" x14ac:dyDescent="0.3">
      <c r="A266" s="4">
        <v>28512</v>
      </c>
      <c r="B266" s="4" t="s">
        <v>314</v>
      </c>
    </row>
    <row r="267" spans="1:2" x14ac:dyDescent="0.3">
      <c r="A267" s="4">
        <v>4293</v>
      </c>
      <c r="B267" s="4" t="s">
        <v>315</v>
      </c>
    </row>
    <row r="268" spans="1:2" x14ac:dyDescent="0.3">
      <c r="A268" s="4">
        <v>33167</v>
      </c>
      <c r="B268" s="4" t="s">
        <v>316</v>
      </c>
    </row>
    <row r="269" spans="1:2" x14ac:dyDescent="0.3">
      <c r="A269" s="4">
        <v>11593</v>
      </c>
      <c r="B269" s="4" t="s">
        <v>317</v>
      </c>
    </row>
    <row r="270" spans="1:2" x14ac:dyDescent="0.3">
      <c r="A270" s="4">
        <v>9096</v>
      </c>
      <c r="B270" s="4" t="s">
        <v>318</v>
      </c>
    </row>
    <row r="271" spans="1:2" x14ac:dyDescent="0.3">
      <c r="A271" s="4">
        <v>772</v>
      </c>
      <c r="B271" s="4" t="s">
        <v>319</v>
      </c>
    </row>
    <row r="272" spans="1:2" x14ac:dyDescent="0.3">
      <c r="A272" s="4">
        <v>18266</v>
      </c>
      <c r="B272" s="4" t="s">
        <v>320</v>
      </c>
    </row>
    <row r="273" spans="1:2" x14ac:dyDescent="0.3">
      <c r="A273" s="4">
        <v>8418</v>
      </c>
      <c r="B273" s="4" t="s">
        <v>321</v>
      </c>
    </row>
    <row r="274" spans="1:2" x14ac:dyDescent="0.3">
      <c r="A274" s="4">
        <v>7703</v>
      </c>
      <c r="B274" s="4" t="s">
        <v>322</v>
      </c>
    </row>
    <row r="275" spans="1:2" x14ac:dyDescent="0.3">
      <c r="A275" s="4">
        <v>5753</v>
      </c>
      <c r="B275" s="4" t="s">
        <v>323</v>
      </c>
    </row>
    <row r="276" spans="1:2" x14ac:dyDescent="0.3">
      <c r="A276" s="4">
        <v>7945</v>
      </c>
      <c r="B276" s="4" t="s">
        <v>324</v>
      </c>
    </row>
    <row r="277" spans="1:2" x14ac:dyDescent="0.3">
      <c r="A277" s="4">
        <v>504</v>
      </c>
      <c r="B277" s="4" t="s">
        <v>325</v>
      </c>
    </row>
    <row r="278" spans="1:2" x14ac:dyDescent="0.3">
      <c r="A278" s="4">
        <v>18341</v>
      </c>
      <c r="B278" s="4" t="s">
        <v>326</v>
      </c>
    </row>
    <row r="279" spans="1:2" x14ac:dyDescent="0.3">
      <c r="A279" s="4">
        <v>8923</v>
      </c>
      <c r="B279" s="4" t="s">
        <v>327</v>
      </c>
    </row>
    <row r="280" spans="1:2" x14ac:dyDescent="0.3">
      <c r="A280" s="4">
        <v>1331</v>
      </c>
      <c r="B280" s="4" t="s">
        <v>328</v>
      </c>
    </row>
    <row r="281" spans="1:2" x14ac:dyDescent="0.3">
      <c r="A281" s="4">
        <v>9093</v>
      </c>
      <c r="B281" s="4" t="s">
        <v>329</v>
      </c>
    </row>
    <row r="282" spans="1:2" x14ac:dyDescent="0.3">
      <c r="A282" s="4">
        <v>9442</v>
      </c>
      <c r="B282" s="4" t="s">
        <v>330</v>
      </c>
    </row>
    <row r="283" spans="1:2" x14ac:dyDescent="0.3">
      <c r="A283" s="4">
        <v>20178</v>
      </c>
      <c r="B283" s="4" t="s">
        <v>331</v>
      </c>
    </row>
    <row r="284" spans="1:2" x14ac:dyDescent="0.3">
      <c r="A284" s="4">
        <v>4409</v>
      </c>
      <c r="B284" s="4" t="s">
        <v>332</v>
      </c>
    </row>
    <row r="285" spans="1:2" x14ac:dyDescent="0.3">
      <c r="A285" s="4">
        <v>9274</v>
      </c>
      <c r="B285" s="4" t="s">
        <v>333</v>
      </c>
    </row>
    <row r="286" spans="1:2" x14ac:dyDescent="0.3">
      <c r="A286" s="4">
        <v>15190</v>
      </c>
      <c r="B286" s="4" t="s">
        <v>334</v>
      </c>
    </row>
    <row r="287" spans="1:2" x14ac:dyDescent="0.3">
      <c r="A287" s="4">
        <v>9276</v>
      </c>
      <c r="B287" s="4" t="s">
        <v>335</v>
      </c>
    </row>
    <row r="288" spans="1:2" x14ac:dyDescent="0.3">
      <c r="A288" s="4">
        <v>23256</v>
      </c>
      <c r="B288" s="4" t="s">
        <v>336</v>
      </c>
    </row>
    <row r="289" spans="1:2" x14ac:dyDescent="0.3">
      <c r="A289" s="4">
        <v>23246</v>
      </c>
      <c r="B289" s="4" t="s">
        <v>337</v>
      </c>
    </row>
    <row r="290" spans="1:2" x14ac:dyDescent="0.3">
      <c r="A290" s="4">
        <v>23060</v>
      </c>
      <c r="B290" s="4" t="s">
        <v>338</v>
      </c>
    </row>
    <row r="291" spans="1:2" x14ac:dyDescent="0.3">
      <c r="A291" s="4">
        <v>23055</v>
      </c>
      <c r="B291" s="4" t="s">
        <v>339</v>
      </c>
    </row>
    <row r="292" spans="1:2" x14ac:dyDescent="0.3">
      <c r="A292" s="4">
        <v>31894</v>
      </c>
      <c r="B292" s="4" t="s">
        <v>340</v>
      </c>
    </row>
    <row r="293" spans="1:2" x14ac:dyDescent="0.3">
      <c r="A293" s="4">
        <v>31875</v>
      </c>
      <c r="B293" s="4" t="s">
        <v>341</v>
      </c>
    </row>
    <row r="294" spans="1:2" x14ac:dyDescent="0.3">
      <c r="A294" s="4">
        <v>23594</v>
      </c>
      <c r="B294" s="4" t="s">
        <v>342</v>
      </c>
    </row>
    <row r="295" spans="1:2" x14ac:dyDescent="0.3">
      <c r="A295" s="4">
        <v>21791</v>
      </c>
      <c r="B295" s="4" t="s">
        <v>343</v>
      </c>
    </row>
    <row r="296" spans="1:2" x14ac:dyDescent="0.3">
      <c r="A296" s="4">
        <v>34655</v>
      </c>
      <c r="B296" s="4" t="s">
        <v>344</v>
      </c>
    </row>
    <row r="297" spans="1:2" x14ac:dyDescent="0.3">
      <c r="A297" s="4">
        <v>22641</v>
      </c>
      <c r="B297" s="4" t="s">
        <v>345</v>
      </c>
    </row>
    <row r="298" spans="1:2" x14ac:dyDescent="0.3">
      <c r="A298" s="4">
        <v>24044</v>
      </c>
      <c r="B298" s="4" t="s">
        <v>346</v>
      </c>
    </row>
    <row r="299" spans="1:2" x14ac:dyDescent="0.3">
      <c r="A299" s="4">
        <v>24042</v>
      </c>
      <c r="B299" s="4" t="s">
        <v>347</v>
      </c>
    </row>
    <row r="300" spans="1:2" x14ac:dyDescent="0.3">
      <c r="A300" s="4">
        <v>24046</v>
      </c>
      <c r="B300" s="4" t="s">
        <v>348</v>
      </c>
    </row>
    <row r="301" spans="1:2" x14ac:dyDescent="0.3">
      <c r="A301" s="4">
        <v>29623</v>
      </c>
      <c r="B301" s="4" t="s">
        <v>349</v>
      </c>
    </row>
    <row r="302" spans="1:2" x14ac:dyDescent="0.3">
      <c r="A302" s="4">
        <v>34429</v>
      </c>
      <c r="B302" s="4" t="s">
        <v>350</v>
      </c>
    </row>
    <row r="303" spans="1:2" x14ac:dyDescent="0.3">
      <c r="A303" s="4">
        <v>19225</v>
      </c>
      <c r="B303" s="4" t="s">
        <v>351</v>
      </c>
    </row>
    <row r="304" spans="1:2" x14ac:dyDescent="0.3">
      <c r="A304" s="4">
        <v>19229</v>
      </c>
      <c r="B304" s="4" t="s">
        <v>352</v>
      </c>
    </row>
    <row r="305" spans="1:2" x14ac:dyDescent="0.3">
      <c r="A305" s="4">
        <v>19227</v>
      </c>
      <c r="B305" s="4" t="s">
        <v>353</v>
      </c>
    </row>
    <row r="306" spans="1:2" x14ac:dyDescent="0.3">
      <c r="A306" s="4">
        <v>30045</v>
      </c>
      <c r="B306" s="4" t="s">
        <v>354</v>
      </c>
    </row>
    <row r="307" spans="1:2" x14ac:dyDescent="0.3">
      <c r="A307" s="4">
        <v>24306</v>
      </c>
      <c r="B307" s="4" t="s">
        <v>355</v>
      </c>
    </row>
    <row r="308" spans="1:2" x14ac:dyDescent="0.3">
      <c r="A308" s="4">
        <v>26607</v>
      </c>
      <c r="B308" s="4" t="s">
        <v>356</v>
      </c>
    </row>
    <row r="309" spans="1:2" x14ac:dyDescent="0.3">
      <c r="A309" s="4">
        <v>32969</v>
      </c>
      <c r="B309" s="4" t="s">
        <v>357</v>
      </c>
    </row>
    <row r="310" spans="1:2" x14ac:dyDescent="0.3">
      <c r="A310" s="4">
        <v>34770</v>
      </c>
      <c r="B310" s="4" t="s">
        <v>358</v>
      </c>
    </row>
    <row r="311" spans="1:2" x14ac:dyDescent="0.3">
      <c r="A311" s="4">
        <v>34126</v>
      </c>
      <c r="B311" s="4" t="s">
        <v>359</v>
      </c>
    </row>
    <row r="312" spans="1:2" x14ac:dyDescent="0.3">
      <c r="A312" s="4">
        <v>19231</v>
      </c>
      <c r="B312" s="4" t="s">
        <v>360</v>
      </c>
    </row>
    <row r="313" spans="1:2" x14ac:dyDescent="0.3">
      <c r="A313" s="4">
        <v>34133</v>
      </c>
      <c r="B313" s="4" t="s">
        <v>361</v>
      </c>
    </row>
    <row r="314" spans="1:2" x14ac:dyDescent="0.3">
      <c r="A314" s="4">
        <v>34420</v>
      </c>
      <c r="B314" s="4" t="s">
        <v>362</v>
      </c>
    </row>
    <row r="315" spans="1:2" x14ac:dyDescent="0.3">
      <c r="A315" s="4">
        <v>21666</v>
      </c>
      <c r="B315" s="4" t="s">
        <v>363</v>
      </c>
    </row>
    <row r="316" spans="1:2" x14ac:dyDescent="0.3">
      <c r="A316" s="4">
        <v>34432</v>
      </c>
      <c r="B316" s="4" t="s">
        <v>364</v>
      </c>
    </row>
    <row r="317" spans="1:2" x14ac:dyDescent="0.3">
      <c r="A317" s="4">
        <v>32541</v>
      </c>
      <c r="B317" s="4" t="s">
        <v>365</v>
      </c>
    </row>
    <row r="318" spans="1:2" x14ac:dyDescent="0.3">
      <c r="A318" s="4">
        <v>29891</v>
      </c>
      <c r="B318" s="4" t="s">
        <v>366</v>
      </c>
    </row>
    <row r="319" spans="1:2" x14ac:dyDescent="0.3">
      <c r="A319" s="4">
        <v>24267</v>
      </c>
      <c r="B319" s="4" t="s">
        <v>367</v>
      </c>
    </row>
    <row r="320" spans="1:2" x14ac:dyDescent="0.3">
      <c r="A320" s="4">
        <v>24608</v>
      </c>
      <c r="B320" s="4" t="s">
        <v>368</v>
      </c>
    </row>
    <row r="321" spans="1:2" x14ac:dyDescent="0.3">
      <c r="A321" s="4">
        <v>27375</v>
      </c>
      <c r="B321" s="4" t="s">
        <v>369</v>
      </c>
    </row>
    <row r="322" spans="1:2" x14ac:dyDescent="0.3">
      <c r="A322" s="4">
        <v>21845</v>
      </c>
      <c r="B322" s="4" t="s">
        <v>370</v>
      </c>
    </row>
    <row r="323" spans="1:2" x14ac:dyDescent="0.3">
      <c r="A323" s="4">
        <v>18135</v>
      </c>
      <c r="B323" s="4" t="s">
        <v>371</v>
      </c>
    </row>
    <row r="324" spans="1:2" x14ac:dyDescent="0.3">
      <c r="A324" s="4">
        <v>982</v>
      </c>
      <c r="B324" s="4" t="s">
        <v>372</v>
      </c>
    </row>
    <row r="325" spans="1:2" x14ac:dyDescent="0.3">
      <c r="A325" s="4">
        <v>29485</v>
      </c>
      <c r="B325" s="4" t="s">
        <v>373</v>
      </c>
    </row>
    <row r="326" spans="1:2" x14ac:dyDescent="0.3">
      <c r="A326" s="4">
        <v>29974</v>
      </c>
      <c r="B326" s="4" t="s">
        <v>374</v>
      </c>
    </row>
    <row r="327" spans="1:2" x14ac:dyDescent="0.3">
      <c r="A327" s="4">
        <v>23269</v>
      </c>
      <c r="B327" s="4" t="s">
        <v>375</v>
      </c>
    </row>
    <row r="328" spans="1:2" x14ac:dyDescent="0.3">
      <c r="A328" s="4">
        <v>21119</v>
      </c>
      <c r="B328" s="4" t="s">
        <v>376</v>
      </c>
    </row>
    <row r="329" spans="1:2" x14ac:dyDescent="0.3">
      <c r="A329" s="4">
        <v>13566</v>
      </c>
      <c r="B329" s="4" t="s">
        <v>377</v>
      </c>
    </row>
    <row r="330" spans="1:2" x14ac:dyDescent="0.3">
      <c r="A330" s="4">
        <v>23271</v>
      </c>
      <c r="B330" s="4" t="s">
        <v>378</v>
      </c>
    </row>
    <row r="331" spans="1:2" x14ac:dyDescent="0.3">
      <c r="A331" s="4">
        <v>29991</v>
      </c>
      <c r="B331" s="4" t="s">
        <v>379</v>
      </c>
    </row>
    <row r="332" spans="1:2" x14ac:dyDescent="0.3">
      <c r="A332" s="4">
        <v>14138</v>
      </c>
      <c r="B332" s="4" t="s">
        <v>380</v>
      </c>
    </row>
    <row r="333" spans="1:2" x14ac:dyDescent="0.3">
      <c r="A333" s="4">
        <v>28137</v>
      </c>
      <c r="B333" s="4" t="s">
        <v>381</v>
      </c>
    </row>
    <row r="334" spans="1:2" x14ac:dyDescent="0.3">
      <c r="A334" s="4">
        <v>1388</v>
      </c>
      <c r="B334" s="4" t="s">
        <v>382</v>
      </c>
    </row>
    <row r="335" spans="1:2" x14ac:dyDescent="0.3">
      <c r="A335" s="4">
        <v>13205</v>
      </c>
      <c r="B335" s="4" t="s">
        <v>383</v>
      </c>
    </row>
    <row r="336" spans="1:2" x14ac:dyDescent="0.3">
      <c r="A336" s="4">
        <v>34608</v>
      </c>
      <c r="B336" s="4" t="s">
        <v>384</v>
      </c>
    </row>
    <row r="337" spans="1:2" x14ac:dyDescent="0.3">
      <c r="A337" s="4">
        <v>9068</v>
      </c>
      <c r="B337" s="4" t="s">
        <v>385</v>
      </c>
    </row>
    <row r="338" spans="1:2" x14ac:dyDescent="0.3">
      <c r="A338" s="4">
        <v>17678</v>
      </c>
      <c r="B338" s="4" t="s">
        <v>386</v>
      </c>
    </row>
    <row r="339" spans="1:2" x14ac:dyDescent="0.3">
      <c r="A339" s="4">
        <v>1745</v>
      </c>
      <c r="B339" s="4" t="s">
        <v>387</v>
      </c>
    </row>
    <row r="340" spans="1:2" x14ac:dyDescent="0.3">
      <c r="A340" s="4">
        <v>9083</v>
      </c>
      <c r="B340" s="4" t="s">
        <v>388</v>
      </c>
    </row>
    <row r="341" spans="1:2" x14ac:dyDescent="0.3">
      <c r="A341" s="4">
        <v>11518</v>
      </c>
      <c r="B341" s="4" t="s">
        <v>389</v>
      </c>
    </row>
    <row r="342" spans="1:2" x14ac:dyDescent="0.3">
      <c r="A342" s="4">
        <v>21781</v>
      </c>
      <c r="B342" s="4" t="s">
        <v>390</v>
      </c>
    </row>
    <row r="343" spans="1:2" x14ac:dyDescent="0.3">
      <c r="A343" s="4">
        <v>32854</v>
      </c>
      <c r="B343" s="4" t="s">
        <v>391</v>
      </c>
    </row>
    <row r="344" spans="1:2" x14ac:dyDescent="0.3">
      <c r="A344" s="4">
        <v>21530</v>
      </c>
      <c r="B344" s="4" t="s">
        <v>392</v>
      </c>
    </row>
    <row r="345" spans="1:2" x14ac:dyDescent="0.3">
      <c r="A345" s="4">
        <v>32122</v>
      </c>
      <c r="B345" s="4" t="s">
        <v>393</v>
      </c>
    </row>
    <row r="346" spans="1:2" x14ac:dyDescent="0.3">
      <c r="A346" s="4">
        <v>18267</v>
      </c>
      <c r="B346" s="4" t="s">
        <v>394</v>
      </c>
    </row>
    <row r="347" spans="1:2" x14ac:dyDescent="0.3">
      <c r="A347" s="4">
        <v>9087</v>
      </c>
      <c r="B347" s="4" t="s">
        <v>395</v>
      </c>
    </row>
    <row r="348" spans="1:2" x14ac:dyDescent="0.3">
      <c r="A348" s="4">
        <v>2248</v>
      </c>
      <c r="B348" s="4" t="s">
        <v>396</v>
      </c>
    </row>
    <row r="349" spans="1:2" x14ac:dyDescent="0.3">
      <c r="A349" s="4">
        <v>9088</v>
      </c>
      <c r="B349" s="4" t="s">
        <v>397</v>
      </c>
    </row>
    <row r="350" spans="1:2" x14ac:dyDescent="0.3">
      <c r="A350" s="4">
        <v>2354</v>
      </c>
      <c r="B350" s="4" t="s">
        <v>398</v>
      </c>
    </row>
    <row r="351" spans="1:2" x14ac:dyDescent="0.3">
      <c r="A351" s="4">
        <v>2350</v>
      </c>
      <c r="B351" s="4" t="s">
        <v>399</v>
      </c>
    </row>
    <row r="352" spans="1:2" x14ac:dyDescent="0.3">
      <c r="A352" s="4">
        <v>8933</v>
      </c>
      <c r="B352" s="4" t="s">
        <v>400</v>
      </c>
    </row>
    <row r="353" spans="1:2" x14ac:dyDescent="0.3">
      <c r="A353" s="4">
        <v>26204</v>
      </c>
      <c r="B353" s="4" t="s">
        <v>401</v>
      </c>
    </row>
    <row r="354" spans="1:2" x14ac:dyDescent="0.3">
      <c r="A354" s="4">
        <v>25837</v>
      </c>
      <c r="B354" s="4" t="s">
        <v>402</v>
      </c>
    </row>
    <row r="355" spans="1:2" x14ac:dyDescent="0.3">
      <c r="A355" s="4">
        <v>23186</v>
      </c>
      <c r="B355" s="4" t="s">
        <v>403</v>
      </c>
    </row>
    <row r="356" spans="1:2" x14ac:dyDescent="0.3">
      <c r="A356" s="4">
        <v>21632</v>
      </c>
      <c r="B356" s="4" t="s">
        <v>404</v>
      </c>
    </row>
    <row r="357" spans="1:2" x14ac:dyDescent="0.3">
      <c r="A357" s="4">
        <v>30942</v>
      </c>
      <c r="B357" s="4" t="s">
        <v>405</v>
      </c>
    </row>
    <row r="358" spans="1:2" x14ac:dyDescent="0.3">
      <c r="A358" s="4">
        <v>21658</v>
      </c>
      <c r="B358" s="4" t="s">
        <v>406</v>
      </c>
    </row>
    <row r="359" spans="1:2" x14ac:dyDescent="0.3">
      <c r="A359" s="4">
        <v>21668</v>
      </c>
      <c r="B359" s="4" t="s">
        <v>407</v>
      </c>
    </row>
    <row r="360" spans="1:2" x14ac:dyDescent="0.3">
      <c r="A360" s="4">
        <v>23631</v>
      </c>
      <c r="B360" s="4" t="s">
        <v>408</v>
      </c>
    </row>
    <row r="361" spans="1:2" x14ac:dyDescent="0.3">
      <c r="A361" s="4">
        <v>23632</v>
      </c>
      <c r="B361" s="4" t="s">
        <v>409</v>
      </c>
    </row>
    <row r="362" spans="1:2" x14ac:dyDescent="0.3">
      <c r="A362" s="4">
        <v>23635</v>
      </c>
      <c r="B362" s="4" t="s">
        <v>410</v>
      </c>
    </row>
    <row r="363" spans="1:2" x14ac:dyDescent="0.3">
      <c r="A363" s="4">
        <v>23636</v>
      </c>
      <c r="B363" s="4" t="s">
        <v>411</v>
      </c>
    </row>
    <row r="364" spans="1:2" x14ac:dyDescent="0.3">
      <c r="A364" s="4">
        <v>23637</v>
      </c>
      <c r="B364" s="4" t="s">
        <v>412</v>
      </c>
    </row>
    <row r="365" spans="1:2" x14ac:dyDescent="0.3">
      <c r="A365" s="4">
        <v>32473</v>
      </c>
      <c r="B365" s="4" t="s">
        <v>413</v>
      </c>
    </row>
    <row r="366" spans="1:2" x14ac:dyDescent="0.3">
      <c r="A366" s="4">
        <v>32500</v>
      </c>
      <c r="B366" s="4" t="s">
        <v>414</v>
      </c>
    </row>
    <row r="367" spans="1:2" x14ac:dyDescent="0.3">
      <c r="A367" s="4">
        <v>20530</v>
      </c>
      <c r="B367" s="4" t="s">
        <v>415</v>
      </c>
    </row>
    <row r="368" spans="1:2" x14ac:dyDescent="0.3">
      <c r="A368" s="4">
        <v>15135</v>
      </c>
      <c r="B368" s="4" t="s">
        <v>416</v>
      </c>
    </row>
    <row r="369" spans="1:2" x14ac:dyDescent="0.3">
      <c r="A369" s="4">
        <v>18807</v>
      </c>
      <c r="B369" s="4" t="s">
        <v>417</v>
      </c>
    </row>
    <row r="370" spans="1:2" x14ac:dyDescent="0.3">
      <c r="A370" s="4">
        <v>26188</v>
      </c>
      <c r="B370" s="4" t="s">
        <v>418</v>
      </c>
    </row>
    <row r="371" spans="1:2" x14ac:dyDescent="0.3">
      <c r="A371" s="4">
        <v>19729</v>
      </c>
      <c r="B371" s="4" t="s">
        <v>419</v>
      </c>
    </row>
    <row r="372" spans="1:2" x14ac:dyDescent="0.3">
      <c r="A372" s="4">
        <v>1699</v>
      </c>
      <c r="B372" s="4" t="s">
        <v>420</v>
      </c>
    </row>
    <row r="373" spans="1:2" x14ac:dyDescent="0.3">
      <c r="A373" s="4">
        <v>20535</v>
      </c>
      <c r="B373" s="4" t="s">
        <v>421</v>
      </c>
    </row>
    <row r="374" spans="1:2" x14ac:dyDescent="0.3">
      <c r="A374" s="4">
        <v>29580</v>
      </c>
      <c r="B374" s="4" t="s">
        <v>422</v>
      </c>
    </row>
    <row r="375" spans="1:2" x14ac:dyDescent="0.3">
      <c r="A375" s="4">
        <v>9089</v>
      </c>
      <c r="B375" s="4" t="s">
        <v>423</v>
      </c>
    </row>
    <row r="376" spans="1:2" x14ac:dyDescent="0.3">
      <c r="A376" s="4">
        <v>21441</v>
      </c>
      <c r="B376" s="4" t="s">
        <v>424</v>
      </c>
    </row>
    <row r="377" spans="1:2" x14ac:dyDescent="0.3">
      <c r="A377" s="4">
        <v>7431</v>
      </c>
      <c r="B377" s="4" t="s">
        <v>425</v>
      </c>
    </row>
    <row r="378" spans="1:2" x14ac:dyDescent="0.3">
      <c r="A378" s="4">
        <v>253</v>
      </c>
      <c r="B378" s="4" t="s">
        <v>426</v>
      </c>
    </row>
    <row r="379" spans="1:2" x14ac:dyDescent="0.3">
      <c r="A379" s="4">
        <v>18268</v>
      </c>
      <c r="B379" s="4" t="s">
        <v>427</v>
      </c>
    </row>
    <row r="380" spans="1:2" x14ac:dyDescent="0.3">
      <c r="A380" s="4">
        <v>503</v>
      </c>
      <c r="B380" s="4" t="s">
        <v>428</v>
      </c>
    </row>
    <row r="381" spans="1:2" x14ac:dyDescent="0.3">
      <c r="A381" s="4">
        <v>8931</v>
      </c>
      <c r="B381" s="4" t="s">
        <v>429</v>
      </c>
    </row>
    <row r="382" spans="1:2" x14ac:dyDescent="0.3">
      <c r="A382" s="4">
        <v>23163</v>
      </c>
      <c r="B382" s="4" t="s">
        <v>430</v>
      </c>
    </row>
    <row r="383" spans="1:2" x14ac:dyDescent="0.3">
      <c r="A383" s="4">
        <v>1164</v>
      </c>
      <c r="B383" s="4" t="s">
        <v>431</v>
      </c>
    </row>
    <row r="384" spans="1:2" x14ac:dyDescent="0.3">
      <c r="A384" s="4">
        <v>1166</v>
      </c>
      <c r="B384" s="4" t="s">
        <v>432</v>
      </c>
    </row>
    <row r="385" spans="1:2" x14ac:dyDescent="0.3">
      <c r="A385" s="4">
        <v>29215</v>
      </c>
      <c r="B385" s="4" t="s">
        <v>433</v>
      </c>
    </row>
    <row r="386" spans="1:2" x14ac:dyDescent="0.3">
      <c r="A386" s="4">
        <v>29201</v>
      </c>
      <c r="B386" s="4" t="s">
        <v>434</v>
      </c>
    </row>
    <row r="387" spans="1:2" x14ac:dyDescent="0.3">
      <c r="A387" s="4">
        <v>29199</v>
      </c>
      <c r="B387" s="4" t="s">
        <v>435</v>
      </c>
    </row>
    <row r="388" spans="1:2" x14ac:dyDescent="0.3">
      <c r="A388" s="4">
        <v>29197</v>
      </c>
      <c r="B388" s="4" t="s">
        <v>436</v>
      </c>
    </row>
    <row r="389" spans="1:2" x14ac:dyDescent="0.3">
      <c r="A389" s="4">
        <v>29209</v>
      </c>
      <c r="B389" s="4" t="s">
        <v>437</v>
      </c>
    </row>
    <row r="390" spans="1:2" x14ac:dyDescent="0.3">
      <c r="A390" s="4">
        <v>29207</v>
      </c>
      <c r="B390" s="4" t="s">
        <v>438</v>
      </c>
    </row>
    <row r="391" spans="1:2" x14ac:dyDescent="0.3">
      <c r="A391" s="4">
        <v>21527</v>
      </c>
      <c r="B391" s="4" t="s">
        <v>439</v>
      </c>
    </row>
    <row r="392" spans="1:2" x14ac:dyDescent="0.3">
      <c r="A392" s="4">
        <v>2237</v>
      </c>
      <c r="B392" s="4" t="s">
        <v>440</v>
      </c>
    </row>
    <row r="393" spans="1:2" x14ac:dyDescent="0.3">
      <c r="A393" s="4">
        <v>9092</v>
      </c>
      <c r="B393" s="4" t="s">
        <v>441</v>
      </c>
    </row>
    <row r="394" spans="1:2" x14ac:dyDescent="0.3">
      <c r="A394" s="4">
        <v>9091</v>
      </c>
      <c r="B394" s="4" t="s">
        <v>442</v>
      </c>
    </row>
    <row r="395" spans="1:2" x14ac:dyDescent="0.3">
      <c r="A395" s="4">
        <v>22200</v>
      </c>
      <c r="B395" s="4" t="s">
        <v>443</v>
      </c>
    </row>
    <row r="396" spans="1:2" x14ac:dyDescent="0.3">
      <c r="A396" s="4">
        <v>22202</v>
      </c>
      <c r="B396" s="4" t="s">
        <v>444</v>
      </c>
    </row>
    <row r="397" spans="1:2" x14ac:dyDescent="0.3">
      <c r="A397" s="4">
        <v>34296</v>
      </c>
      <c r="B397" s="4" t="s">
        <v>445</v>
      </c>
    </row>
    <row r="398" spans="1:2" x14ac:dyDescent="0.3">
      <c r="A398" s="4">
        <v>21968</v>
      </c>
      <c r="B398" s="4" t="s">
        <v>446</v>
      </c>
    </row>
    <row r="399" spans="1:2" x14ac:dyDescent="0.3">
      <c r="A399" s="4">
        <v>21973</v>
      </c>
      <c r="B399" s="4" t="s">
        <v>447</v>
      </c>
    </row>
    <row r="400" spans="1:2" x14ac:dyDescent="0.3">
      <c r="A400" s="4">
        <v>21970</v>
      </c>
      <c r="B400" s="4" t="s">
        <v>448</v>
      </c>
    </row>
    <row r="401" spans="1:2" x14ac:dyDescent="0.3">
      <c r="A401" s="4">
        <v>34298</v>
      </c>
      <c r="B401" s="4" t="s">
        <v>449</v>
      </c>
    </row>
    <row r="402" spans="1:2" x14ac:dyDescent="0.3">
      <c r="A402" s="4">
        <v>21974</v>
      </c>
      <c r="B402" s="4" t="s">
        <v>450</v>
      </c>
    </row>
    <row r="403" spans="1:2" x14ac:dyDescent="0.3">
      <c r="A403" s="4">
        <v>35003</v>
      </c>
      <c r="B403" s="4" t="s">
        <v>451</v>
      </c>
    </row>
    <row r="404" spans="1:2" x14ac:dyDescent="0.3">
      <c r="A404" s="4">
        <v>34779</v>
      </c>
      <c r="B404" s="4" t="s">
        <v>452</v>
      </c>
    </row>
    <row r="405" spans="1:2" x14ac:dyDescent="0.3">
      <c r="A405" s="4">
        <v>26099</v>
      </c>
      <c r="B405" s="4" t="s">
        <v>453</v>
      </c>
    </row>
    <row r="406" spans="1:2" x14ac:dyDescent="0.3">
      <c r="A406" s="4">
        <v>21779</v>
      </c>
      <c r="B406" s="4" t="s">
        <v>454</v>
      </c>
    </row>
    <row r="407" spans="1:2" x14ac:dyDescent="0.3">
      <c r="A407" s="4">
        <v>21792</v>
      </c>
      <c r="B407" s="4" t="s">
        <v>455</v>
      </c>
    </row>
    <row r="408" spans="1:2" x14ac:dyDescent="0.3">
      <c r="A408" s="4">
        <v>29934</v>
      </c>
      <c r="B408" s="4" t="s">
        <v>456</v>
      </c>
    </row>
    <row r="409" spans="1:2" x14ac:dyDescent="0.3">
      <c r="A409" s="4">
        <v>31710</v>
      </c>
      <c r="B409" s="4" t="s">
        <v>457</v>
      </c>
    </row>
    <row r="410" spans="1:2" x14ac:dyDescent="0.3">
      <c r="A410" s="4">
        <v>32718</v>
      </c>
      <c r="B410" s="4" t="s">
        <v>458</v>
      </c>
    </row>
    <row r="411" spans="1:2" x14ac:dyDescent="0.3">
      <c r="A411" s="4">
        <v>32354</v>
      </c>
      <c r="B411" s="4" t="s">
        <v>459</v>
      </c>
    </row>
    <row r="412" spans="1:2" x14ac:dyDescent="0.3">
      <c r="A412" s="4">
        <v>32355</v>
      </c>
      <c r="B412" s="4" t="s">
        <v>460</v>
      </c>
    </row>
    <row r="413" spans="1:2" x14ac:dyDescent="0.3">
      <c r="A413" s="4">
        <v>31791</v>
      </c>
      <c r="B413" s="4" t="s">
        <v>461</v>
      </c>
    </row>
    <row r="414" spans="1:2" x14ac:dyDescent="0.3">
      <c r="A414" s="4">
        <v>29042</v>
      </c>
      <c r="B414" s="4" t="s">
        <v>462</v>
      </c>
    </row>
    <row r="415" spans="1:2" x14ac:dyDescent="0.3">
      <c r="A415" s="4">
        <v>26936</v>
      </c>
      <c r="B415" s="4" t="s">
        <v>463</v>
      </c>
    </row>
    <row r="416" spans="1:2" x14ac:dyDescent="0.3">
      <c r="A416" s="4">
        <v>29462</v>
      </c>
      <c r="B416" s="4" t="s">
        <v>464</v>
      </c>
    </row>
    <row r="417" spans="1:2" x14ac:dyDescent="0.3">
      <c r="A417" s="4">
        <v>29474</v>
      </c>
      <c r="B417" s="4" t="s">
        <v>465</v>
      </c>
    </row>
    <row r="418" spans="1:2" x14ac:dyDescent="0.3">
      <c r="A418" s="4">
        <v>29460</v>
      </c>
      <c r="B418" s="4" t="s">
        <v>466</v>
      </c>
    </row>
    <row r="419" spans="1:2" x14ac:dyDescent="0.3">
      <c r="A419" s="4">
        <v>29463</v>
      </c>
      <c r="B419" s="4" t="s">
        <v>467</v>
      </c>
    </row>
    <row r="420" spans="1:2" x14ac:dyDescent="0.3">
      <c r="A420" s="4">
        <v>29461</v>
      </c>
      <c r="B420" s="4" t="s">
        <v>468</v>
      </c>
    </row>
    <row r="421" spans="1:2" x14ac:dyDescent="0.3">
      <c r="A421" s="4">
        <v>29503</v>
      </c>
      <c r="B421" s="4" t="s">
        <v>469</v>
      </c>
    </row>
    <row r="422" spans="1:2" x14ac:dyDescent="0.3">
      <c r="A422" s="4">
        <v>29481</v>
      </c>
      <c r="B422" s="4" t="s">
        <v>470</v>
      </c>
    </row>
    <row r="423" spans="1:2" x14ac:dyDescent="0.3">
      <c r="A423" s="4">
        <v>29477</v>
      </c>
      <c r="B423" s="4" t="s">
        <v>471</v>
      </c>
    </row>
    <row r="424" spans="1:2" x14ac:dyDescent="0.3">
      <c r="A424" s="4">
        <v>21391</v>
      </c>
      <c r="B424" s="4" t="s">
        <v>472</v>
      </c>
    </row>
  </sheetData>
  <autoFilter ref="A1:B424" xr:uid="{BCA0FA71-EFCE-444C-AF89-6CF5C7FF5A5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Gestao</vt:lpstr>
      <vt:lpstr>Endereços</vt:lpstr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Melo</cp:lastModifiedBy>
  <dcterms:created xsi:type="dcterms:W3CDTF">2025-12-16T23:27:31Z</dcterms:created>
  <dcterms:modified xsi:type="dcterms:W3CDTF">2026-04-02T13:50:13Z</dcterms:modified>
</cp:coreProperties>
</file>