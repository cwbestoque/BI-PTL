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acswpj2\CW_R\AV_PRSPI\GOF CW\2026\CDD Curitiba\02. Equipe\09. Gabriel\Power BI\"/>
    </mc:Choice>
  </mc:AlternateContent>
  <xr:revisionPtr revIDLastSave="0" documentId="13_ncr:1_{D97AEE9D-E2C2-4899-8A7E-5AAEECC1CCC2}" xr6:coauthVersionLast="47" xr6:coauthVersionMax="47" xr10:uidLastSave="{00000000-0000-0000-0000-000000000000}"/>
  <bookViews>
    <workbookView xWindow="-120" yWindow="-120" windowWidth="23280" windowHeight="11880" xr2:uid="{00000000-000D-0000-FFFF-FFFF00000000}"/>
  </bookViews>
  <sheets>
    <sheet name="Gestao" sheetId="1" r:id="rId1"/>
    <sheet name="Produtos" sheetId="3" r:id="rId2"/>
  </sheets>
  <definedNames>
    <definedName name="_xlnm._FilterDatabase" localSheetId="1" hidden="1">Produtos!$A$1:$B$424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89" i="1" l="1"/>
  <c r="H1190" i="1"/>
  <c r="J1189" i="1"/>
  <c r="J1190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H1147" i="1"/>
  <c r="H1148" i="1"/>
  <c r="H1149" i="1"/>
  <c r="H1150" i="1"/>
  <c r="H1151" i="1"/>
  <c r="H1152" i="1"/>
  <c r="H1153" i="1"/>
  <c r="H1154" i="1"/>
  <c r="H1155" i="1"/>
  <c r="J1147" i="1"/>
  <c r="J1148" i="1"/>
  <c r="J1149" i="1"/>
  <c r="J1150" i="1"/>
  <c r="J1151" i="1"/>
  <c r="J1152" i="1"/>
  <c r="J1153" i="1"/>
  <c r="J1154" i="1"/>
  <c r="J115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2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09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</calcChain>
</file>

<file path=xl/sharedStrings.xml><?xml version="1.0" encoding="utf-8"?>
<sst xmlns="http://schemas.openxmlformats.org/spreadsheetml/2006/main" count="3938" uniqueCount="526">
  <si>
    <t>ID</t>
  </si>
  <si>
    <t>Hora de início</t>
  </si>
  <si>
    <t>Hora de conclusão</t>
  </si>
  <si>
    <t>Nome do avaliador </t>
  </si>
  <si>
    <t>Área avaliada</t>
  </si>
  <si>
    <t>QUAL O ENDEREÇO? </t>
  </si>
  <si>
    <t>Código do produto</t>
  </si>
  <si>
    <t>Tipo incidente </t>
  </si>
  <si>
    <t>RAFAEL </t>
  </si>
  <si>
    <t>Picking</t>
  </si>
  <si>
    <t>KETLYN </t>
  </si>
  <si>
    <t>Regulador 1</t>
  </si>
  <si>
    <t>CLEBER</t>
  </si>
  <si>
    <t>RACK01</t>
  </si>
  <si>
    <t>TAINÁ</t>
  </si>
  <si>
    <t>Picking Baixo Giro</t>
  </si>
  <si>
    <t>Picking Alto Giro</t>
  </si>
  <si>
    <t>NARCISO</t>
  </si>
  <si>
    <t>JHOSLLEY</t>
  </si>
  <si>
    <t>Marketplace</t>
  </si>
  <si>
    <t>LUCIANE</t>
  </si>
  <si>
    <t>Reg2RGB</t>
  </si>
  <si>
    <t>BRUNO</t>
  </si>
  <si>
    <t>CARLOS</t>
  </si>
  <si>
    <t>Reg4Lata</t>
  </si>
  <si>
    <t>GILBERTO</t>
  </si>
  <si>
    <t>RegPET</t>
  </si>
  <si>
    <t>RODRIGO</t>
  </si>
  <si>
    <t>MARCIO</t>
  </si>
  <si>
    <t>LAISA</t>
  </si>
  <si>
    <t>JOSÉ</t>
  </si>
  <si>
    <t>FÁBIO</t>
  </si>
  <si>
    <t>JOSÉ GILNEI</t>
  </si>
  <si>
    <t>Camera F</t>
  </si>
  <si>
    <t>Reg1RGBL</t>
  </si>
  <si>
    <t>Todos</t>
  </si>
  <si>
    <t>h2o 500ml</t>
  </si>
  <si>
    <t>ROGÉRIO</t>
  </si>
  <si>
    <t>Proteção porta pallet</t>
  </si>
  <si>
    <t xml:space="preserve">Proteção porta pallet </t>
  </si>
  <si>
    <t>GABRIEL</t>
  </si>
  <si>
    <t>skol multipack com 12</t>
  </si>
  <si>
    <t>pepsi twist lata 350ml</t>
  </si>
  <si>
    <t xml:space="preserve">skol multipack com 12 </t>
  </si>
  <si>
    <t>brahma lt 350ml</t>
  </si>
  <si>
    <t>skol multipack com 18</t>
  </si>
  <si>
    <t>beats sentes 473ml</t>
  </si>
  <si>
    <t>caracu 350ml</t>
  </si>
  <si>
    <t>sukita 350ml</t>
  </si>
  <si>
    <t>brahma 350ml</t>
  </si>
  <si>
    <t>skol 473ml</t>
  </si>
  <si>
    <t>Original Lata 350ml</t>
  </si>
  <si>
    <t>Ag05</t>
  </si>
  <si>
    <t>Bg19</t>
  </si>
  <si>
    <t>Bg20</t>
  </si>
  <si>
    <t>Bg18</t>
  </si>
  <si>
    <t>Bg07</t>
  </si>
  <si>
    <t>Bg33</t>
  </si>
  <si>
    <t>Bg22</t>
  </si>
  <si>
    <t>Bg35</t>
  </si>
  <si>
    <t>Ag36</t>
  </si>
  <si>
    <t>Ag19</t>
  </si>
  <si>
    <t>Ag33</t>
  </si>
  <si>
    <t>Ag40</t>
  </si>
  <si>
    <t>Ag42</t>
  </si>
  <si>
    <t>Coluna1</t>
  </si>
  <si>
    <t>Cod</t>
  </si>
  <si>
    <t>Descrição</t>
  </si>
  <si>
    <t>51 ICE MACA VERDE GFA VD 275 ML FD 24</t>
  </si>
  <si>
    <t>ABSOLUT ORIGINAL GFA VIDRO 1L</t>
  </si>
  <si>
    <t>ACQUA PANNA S/G GARRAFA VD 505 ML CX 24</t>
  </si>
  <si>
    <t>AG MIN S GAS AMA PET 500ML C12 N SHAPE</t>
  </si>
  <si>
    <t>AGUA M F DA ILHA C/G PET 300 ML CX C/12</t>
  </si>
  <si>
    <t>AGUA M F DA ILHA C/G PET 500ML CXC12 PRE</t>
  </si>
  <si>
    <t>AGUA M F DA ILHA C/G PVC 2L CAIXA C/06</t>
  </si>
  <si>
    <t>AGUA M F DA ILHA C/G PVC 500ML CAIXA C/1</t>
  </si>
  <si>
    <t>AGUA M F DA ILHA S/G COPO 200ML CAIXA C/</t>
  </si>
  <si>
    <t>AGUA M F DA ILHA S/G GARRAF+O PET 5 LITROS CX C/04</t>
  </si>
  <si>
    <t>AGUA M F DA ILHA S/G PET 500ML CXC12 PRE</t>
  </si>
  <si>
    <t>AGUA M F DA ILHA S/G PVC 1,5L CAIXA C/06</t>
  </si>
  <si>
    <t>AGUA M F DA ILHA S/G PVC 500ML CAIXA C/1</t>
  </si>
  <si>
    <t>ANTARCTICA PILSEN 600ML</t>
  </si>
  <si>
    <t>ANTARCTICA PILSEN GFA VD 1L C/TTC</t>
  </si>
  <si>
    <t>ANTARCTICA PILSEN GFA VD 300ML CX C/23</t>
  </si>
  <si>
    <t>ANTARCTICA PILSEN LATA 350ML SH C/12 NPA</t>
  </si>
  <si>
    <t>ANTARCTICA PILSEN LT 350ML SH C/18 MULTP</t>
  </si>
  <si>
    <t>ANTARCTICA SUBZERO 600ML</t>
  </si>
  <si>
    <t>ANTARCTICA SUBZERO GFA VD 1L</t>
  </si>
  <si>
    <t>ANTARCTICA SUBZERO LT 269ML SH C/15 NPAL</t>
  </si>
  <si>
    <t>ANTARCTICA SUBZERO LT 350ML SH C/12 NPAL</t>
  </si>
  <si>
    <t>ANTARCTICA SUBZERO LT 473ML SH C/12 NPAL</t>
  </si>
  <si>
    <t>BALALAIKA VODKA GFA VD 1L CX C/6</t>
  </si>
  <si>
    <t>BALLANTINES 12 ANOS GFA VIDRO 1 L</t>
  </si>
  <si>
    <t>BALLANTINES FINEST 1L GFA VIDRO 1L</t>
  </si>
  <si>
    <t>BC OW300C23</t>
  </si>
  <si>
    <t>BEATS RED MIX LN 269ML SIX PACK SH C/2</t>
  </si>
  <si>
    <t>BEATS RED MIX LT 269ML SH C/8</t>
  </si>
  <si>
    <t>BEATS TROPICAL LN 269ML SIX-PACK SH C/4</t>
  </si>
  <si>
    <t>BEATS TROPICAL LT 269ML CX CARTAO C/8 NP</t>
  </si>
  <si>
    <t>BECKS N  600ML</t>
  </si>
  <si>
    <t>BECKS N LT SLEEK 350ML C 8 CX CART</t>
  </si>
  <si>
    <t>BECKS N ONE WAY 600ML CX 12</t>
  </si>
  <si>
    <t>BECKS NACIONAL LN 330ML SIX PACK SH C 4</t>
  </si>
  <si>
    <t>BEEFEATER LONDON DRY GFA VD 750ML</t>
  </si>
  <si>
    <t>BIS XTRA OREO ENVELOPE 45G CX C/24</t>
  </si>
  <si>
    <t>BOHEMIA GFA VD 300ML CX C/23</t>
  </si>
  <si>
    <t>BOHEMIA GFA VD 990ML</t>
  </si>
  <si>
    <t>BOHEMIA LT473ML PACK SHRINK C/12</t>
  </si>
  <si>
    <t>BOHEMIA NOVA EMBAL LT 350ML SH C/12 NPAL</t>
  </si>
  <si>
    <t>BRAHMA CHOPP 600ML</t>
  </si>
  <si>
    <t>BRAHMA CHOPP GFA VD 1L COM TTC</t>
  </si>
  <si>
    <t>BRAHMA CHOPP GFA VD 300ML CX C/23</t>
  </si>
  <si>
    <t>BRAHMA CHOPP LATA 350ML SH 18 MULTIPACK</t>
  </si>
  <si>
    <t>BRAHMA CHOPP LATA 350ML SH C/12 NPAL</t>
  </si>
  <si>
    <t>BRAHMA CHOPP LN355ML SIX PACK CAIXA C/4</t>
  </si>
  <si>
    <t>BRAHMA CHOPP LT 269ML SH C/15 NPAL</t>
  </si>
  <si>
    <t>BRAHMA CHOPP LT 473ML SH C/12 NPAL</t>
  </si>
  <si>
    <t>BRAHMA CHOPP ONE WAY 1L GFE C/12</t>
  </si>
  <si>
    <t>BRAHMA CHOPP ZERO GFA VD 300ML CX C/23</t>
  </si>
  <si>
    <t>BRAHMA CHOPP ZERO LATA 350 SH CX C12 NPA</t>
  </si>
  <si>
    <t>BRAHMA CHOPP ZERO LN 355 SIXP CX CART C4</t>
  </si>
  <si>
    <t>BRAHMA D MALTE ESCURA LT SLEK 350ML SH12</t>
  </si>
  <si>
    <t>BRAHMA DUPLO MALTE 600ML</t>
  </si>
  <si>
    <t>BRAHMA DUPLO MALTE GFA VD 1L</t>
  </si>
  <si>
    <t>BRAHMA DUPLO MALTE GFA VD 300ML CX C/23</t>
  </si>
  <si>
    <t>BRAHMA DUPLO MALTE LT 269ML SH C15 NPAL</t>
  </si>
  <si>
    <t>BRAHMA DUPLO MALTE LT SLEEK 350ML SH C12</t>
  </si>
  <si>
    <t>BRAHMA LEX CLARA LT SLEEK 350ML SH C12</t>
  </si>
  <si>
    <t>BRAHMA LEX LT SLEEK 350ML SH C 12</t>
  </si>
  <si>
    <t>BRUTAL FRUIT LONG NECK 275ML SP SH C2</t>
  </si>
  <si>
    <t>BUBBALOO BALA MIX DISPLAY 15G CX/12</t>
  </si>
  <si>
    <t>BUBBALOO BALA MORANGO DISPLAY 15G CX/12</t>
  </si>
  <si>
    <t>BUBBALOO BALA TUT FRUT DISPLAY 15G CX/12</t>
  </si>
  <si>
    <t>BUBBALOO MORANGO DISPLAY 5G CX/60</t>
  </si>
  <si>
    <t>BUBBALOO TUTTI FRUTTI DISPLAY 5G CX/60</t>
  </si>
  <si>
    <t>BUBBALOO UVA DISPLAY 5G CX/60</t>
  </si>
  <si>
    <t>BUDWEISER 600ML</t>
  </si>
  <si>
    <t xml:space="preserve">BUDWEISER GFA VD 300ML GFE C 23 RGB </t>
  </si>
  <si>
    <t>BUDWEISER GFA VD 990ML CX C/12</t>
  </si>
  <si>
    <t>BUDWEISER LATA 269ML CX C/8 FRIDGE PACK</t>
  </si>
  <si>
    <t>BUDWEISER LT 473ML SIX-PACK SH C/2 NPAL</t>
  </si>
  <si>
    <t>BUDWEISER LT SLEEK 350ML CX CART C12</t>
  </si>
  <si>
    <t>BUDWEISER OW 330ML CX C 24</t>
  </si>
  <si>
    <t>BUDWEISER ZERO LN 330ML SIX-PACK SH C/4</t>
  </si>
  <si>
    <t>BUDWEISER ZERO LT SLEEK 350ML C8 CX CART</t>
  </si>
  <si>
    <t>CACHACA 51 PIRAS OURO C VASIL GFVD 965ML</t>
  </si>
  <si>
    <t>CARACU LATA 350ML SH C/12 NPAL</t>
  </si>
  <si>
    <t>CERVEGELA PLASTICA BRAHMA 1 UN P/ GFA 1L CX C/3</t>
  </si>
  <si>
    <t>CERVEGELA PLASTICA BRAHMA 1 UN P/ GFA 600ML CX C/3</t>
  </si>
  <si>
    <t>CERVEGELA PLASTICA SKOL 1 UN P/ GFA 1L CX C/3</t>
  </si>
  <si>
    <t>CERVEGELA PLASTICA SKOL 1 UN P/ GFA 600ML CX C/3</t>
  </si>
  <si>
    <t>CHICLETE ADAMS HORTELA 2,8G CX C/100</t>
  </si>
  <si>
    <t>CHIVAS 18YO GFA VD 750 ML</t>
  </si>
  <si>
    <t>CHIVAS REGAL WHISKY 12 ANOS GFA VIDRO 1L</t>
  </si>
  <si>
    <t>CHOPP BRAHMA BLACK BARRIL KEG 30L</t>
  </si>
  <si>
    <t>CHOPP BRAHMA CLARO BARRIL KEG 30L</t>
  </si>
  <si>
    <t>CHOPP BRAHMA CLARO BARRIL KEG 50L</t>
  </si>
  <si>
    <t>CHOPP BRAHMA ESCURO BARRIL KEG 30L</t>
  </si>
  <si>
    <t>CHOPP CL STELLA ARTOIS BARRIL KEG 30L</t>
  </si>
  <si>
    <t>CHOPP COLORADO LAGER BARRIL KEG 30L NPAL</t>
  </si>
  <si>
    <t>CHOPP PATAGONIA AMBER LAGER KEG 30L</t>
  </si>
  <si>
    <t>CHOPP PATAGONIA BOHEMIAN PILSENE KEG 30L</t>
  </si>
  <si>
    <t>CHOPP PATAGONIA WEISSE BARRIL KEG 30L</t>
  </si>
  <si>
    <t>CHOPP SPATEN N KEG 30L NPAL</t>
  </si>
  <si>
    <t>COLORADO APPIA LT SLEEK 350ML C8 CX CART</t>
  </si>
  <si>
    <t>COLORADO APPIA OW 600ML CX C-12 ARTE</t>
  </si>
  <si>
    <t>COLORADO DEMOISELLE OW 600ML CX C-12 ART</t>
  </si>
  <si>
    <t>COLORADO INDICA LT SLEEK 350ML C8 CX CAR</t>
  </si>
  <si>
    <t>COLORADO INDICA OW 600ML CX C-12 ARTE</t>
  </si>
  <si>
    <t>COLORADO LAGER LN 355ML CX C/12</t>
  </si>
  <si>
    <t>COLORADO LAGER LT SLEEK 350ML C8 CX CART</t>
  </si>
  <si>
    <t>COLORADO LAGER ONE WAY 600ML CX C-12 ART</t>
  </si>
  <si>
    <t>COLORADO SESSION IPA OW 600ML CX C-12</t>
  </si>
  <si>
    <t>COLORADO VIXNU OW 600ML CX C-12 ARTE</t>
  </si>
  <si>
    <t>COR CERO SUNBREW LN 330ML SP BAS CX C4</t>
  </si>
  <si>
    <t>CORONA CERO SUN N LT SL 350ML C8 CX CART</t>
  </si>
  <si>
    <t>CORONA EXTRA N 600ML RGB</t>
  </si>
  <si>
    <t>CORONA EXTRA N LN 330ML SIX-PACK BASKET CX C 4</t>
  </si>
  <si>
    <t>CORONA EXTRA N LONG NECK 330ML RGB CX 28</t>
  </si>
  <si>
    <t>CORONA EXTRA N LT 473ML CX CARTAO C/12</t>
  </si>
  <si>
    <t>CORONA EXTRA N OW 600ML GARRAFEIRA C/24</t>
  </si>
  <si>
    <t>CORONA EXTRA NAC LN 330 CX C/24 NPAL</t>
  </si>
  <si>
    <t>CORONA N LT SLEEK 350ML CX 8</t>
  </si>
  <si>
    <t>CORONITA EXTRA N OW 210ML CX C/4 SIXPA</t>
  </si>
  <si>
    <t>COROTE CACHACA GARRAFA PET 500 ML CX C/12</t>
  </si>
  <si>
    <t>DANTE ROBINO BONARDA GFA VD 750ML CX C6</t>
  </si>
  <si>
    <t>DANTE ROBINO CABERNET SAUVIGNON GFA OW 750ML CX C 6</t>
  </si>
  <si>
    <t>DANTE ROBINO EXTRA BRUT GFA OW 750ML CX C-6</t>
  </si>
  <si>
    <t>DANTE ROBINO LEG BLEND D BL GF 750ML CX6</t>
  </si>
  <si>
    <t>DANTE ROBINO LEG BONARDA GFA 750ML CX C6</t>
  </si>
  <si>
    <t>DANTE ROBINO LEG CAB SAUV GFA 750ML CX 6</t>
  </si>
  <si>
    <t>DANTE ROBINO LEG MALBEC GFA 750 ML CX C6</t>
  </si>
  <si>
    <t>DANTE ROBINO MALBEC OW X6 750CC</t>
  </si>
  <si>
    <t>DANTE ROBINO WHITE BLEND GFA 750 ML CX 6</t>
  </si>
  <si>
    <t>DOMECQ COQUETEL COMPOSTO GFA VIDRO 1L</t>
  </si>
  <si>
    <t>EXTRA SERRAMALTE 600ML</t>
  </si>
  <si>
    <t>FLOPITO PIRULITO CORACAO VERM PCT P 500G</t>
  </si>
  <si>
    <t>FLORESTAL BALA BRAZIL COFFEE PCT PL 108G</t>
  </si>
  <si>
    <t>FLORESTAL BALA BRAZIL COFFEE PCT PL 500G</t>
  </si>
  <si>
    <t>FLORESTAL BALA GOMA SININHOS PCT PL 500G</t>
  </si>
  <si>
    <t>FLORESTAL BALA MENTA PCT PLAST 500G</t>
  </si>
  <si>
    <t>FLORESTAL BALINHA CORACAO MOR PCT P 108G</t>
  </si>
  <si>
    <t>FLORESTAL BALINHA CORACAO MORANG PC 500G</t>
  </si>
  <si>
    <t>FUSION  PET 2L SHRINK C6</t>
  </si>
  <si>
    <t>FUSION LT 473ML SH C/12 NPAL</t>
  </si>
  <si>
    <t>FUSION MELANCIA LT 473ML SH C/12 NPAL</t>
  </si>
  <si>
    <t>FUSION MELANCIA PET 2L SHRINK C/6</t>
  </si>
  <si>
    <t>FUSION PET 1L SHRINK C/6</t>
  </si>
  <si>
    <t>GARRAFEIRA PL. PRETO B. 1UN P24 GF 600ML</t>
  </si>
  <si>
    <t>GATORADE BERRY BLUE PET 500ML SIXPACK</t>
  </si>
  <si>
    <t>GATORADE FRUTAS CITR PET 500ML SIX PACK</t>
  </si>
  <si>
    <t>GATORADE LARANJA PET 500ML SIX PACK</t>
  </si>
  <si>
    <t>GATORADE LIMAO PET 500ML SIX PACK</t>
  </si>
  <si>
    <t>GATORADE MARACUJA PET 500ML SIX PACK</t>
  </si>
  <si>
    <t>GATORADE MELANC MORANGO PET 500ML SIXPAC</t>
  </si>
  <si>
    <t>GATORADE MORANGO MARACUJA PET500ML SIXPA</t>
  </si>
  <si>
    <t>GATORADE TANGERINA PET 500ML SIX PACK</t>
  </si>
  <si>
    <t>GATORADE UVA PET 500ML SIX PACK</t>
  </si>
  <si>
    <t>GATORADE ZERO CAL FRUT SIL PET350 SH C12</t>
  </si>
  <si>
    <t>GATORADE ZERO CAL LARANJA PET350 SH C12</t>
  </si>
  <si>
    <t>GFE PL. A. L. A. PR B. 1 UN P23 GF 300ML</t>
  </si>
  <si>
    <t>GOOSE ISLAND MIDWAY NAC LN 355ML CX C/12</t>
  </si>
  <si>
    <t>GORDONS GIN DRY GARRAFA VIDRO 750ML</t>
  </si>
  <si>
    <t>GRAN DANTE BONARDA OW X6 750CC</t>
  </si>
  <si>
    <t>GRAN DANTE MALBEC GFA OW 750ML CX C6</t>
  </si>
  <si>
    <t>GRAN DANTE NATURE GFA VD 750ML CX C3</t>
  </si>
  <si>
    <t>GUAR. CHP ANT PET 2,25L SH C6 250ML GRAT</t>
  </si>
  <si>
    <t>GUARANA ANT ZERO LATA 350ML SH C/12 MP</t>
  </si>
  <si>
    <t>GUARANA ANTARCTICA ZERO PET 200ML SH C12</t>
  </si>
  <si>
    <t>GUARANA CHP ANT DIET MIX BAG IN BOX 18L</t>
  </si>
  <si>
    <t>GUARANA CHP ANT LATA 350ML SH C/12 MP</t>
  </si>
  <si>
    <t>GUARANA CHP ANTAR LATA 350ML SH C18 MULT</t>
  </si>
  <si>
    <t>GUARANA CHP ANTAR MIX BAG IN BOX 18L</t>
  </si>
  <si>
    <t>GUARANA CHP ANTARCT DIET LT350ML SHC/12</t>
  </si>
  <si>
    <t>GUARANA CHP ANTARCT DIET PET1,5L SH C/6</t>
  </si>
  <si>
    <t>GUARANA CHP ANTARCT LT350ML SH C/12 NPAL</t>
  </si>
  <si>
    <t>GUARANA CHP ANTARCT PET 1L P C2 MUL NENO</t>
  </si>
  <si>
    <t>GUARANA CHP ANTARCTICA 290ML</t>
  </si>
  <si>
    <t>GUARANA CHP ANTARCTICA DIET PET 2L CXC/6</t>
  </si>
  <si>
    <t>GUARANA CHP ANTARCTICA GFA VD 1L</t>
  </si>
  <si>
    <t>GUARANA CHP ANTARCTICA PET 1,5L SH C/6</t>
  </si>
  <si>
    <t>GUARANA CHP ANTARCTICA PET 2,5L CX C/6</t>
  </si>
  <si>
    <t>GUARANA CHP ANTARCTICA PET 200ML SH C/12</t>
  </si>
  <si>
    <t>GUARANA CHP ANTARCTICA PET 2L CAIXA C/6</t>
  </si>
  <si>
    <t>GUARANA CHP ANTARCTICA PET 3L C4 SH LISO</t>
  </si>
  <si>
    <t>GUARANA CHP ANTARCTICA PET1L CX C/6 NRIO</t>
  </si>
  <si>
    <t>GUARANA CHP ANTARCTICA PET600ML CXC/12 N</t>
  </si>
  <si>
    <t>GUARANA CHP ANTART DIET PET600ML CX C/12</t>
  </si>
  <si>
    <t>H2OH CITRUS C/GAS PET1,5L SH C/06 NPAL</t>
  </si>
  <si>
    <t>H2OH CITRUS C/GAS PET500ML SH C/12 NPAL</t>
  </si>
  <si>
    <t>H2OH LIMAO C/GAS PET 1,5L CAIXA C/6</t>
  </si>
  <si>
    <t>H2OH LIMAO C/GAS PET 500ML CAIXA C/12</t>
  </si>
  <si>
    <t>H2OH LIMONETO PET 1,5 SH C/6 NPAL</t>
  </si>
  <si>
    <t>H2OH LIMONETO PET500 SH C/12 NP</t>
  </si>
  <si>
    <t>HALLS CEREJA 28G CX C/21</t>
  </si>
  <si>
    <t>HALLS EXTRA FORTE 28G CX C/21</t>
  </si>
  <si>
    <t>HALLS MELANCIA 28G CX C/21</t>
  </si>
  <si>
    <t>HALLS MENTA 28G CX C/21</t>
  </si>
  <si>
    <t>HALLS MENTOL 28G CX C 21</t>
  </si>
  <si>
    <t>HALLS MORANGO 28G CX C 21</t>
  </si>
  <si>
    <t>HALLS UVA VERDE ENVELOPE 28G CX C/21</t>
  </si>
  <si>
    <t>HEMMER KETCHUP TRAD SACHE 7G CX 190</t>
  </si>
  <si>
    <t>HEMMER KETCHUP TRADICIONAL SQUEEZE 1KG</t>
  </si>
  <si>
    <t>HEMMER MAIONESE TRAD SACHE 7G CX 190</t>
  </si>
  <si>
    <t>HOEGAARDEN W NAC LT 269ML CX CAR C8 NPAL</t>
  </si>
  <si>
    <t>ISABELA WAFER MORANGO PCT PLST 100G CX40</t>
  </si>
  <si>
    <t>JINFU BARRIL D CHOPP VAS 1UN BAR ACO 30L</t>
  </si>
  <si>
    <t>JOHNNIE WALKER BLACK LABEL GFA VD 750ML</t>
  </si>
  <si>
    <t>JOHNNIE WALKER BLACK LABEL GFA VIDRO 1L</t>
  </si>
  <si>
    <t>JOHNNIE WALKER RED LABEL GFA VD 750ML</t>
  </si>
  <si>
    <t>JOHNNIE WALKER RED LABEL GFA VIDRO 1L</t>
  </si>
  <si>
    <t>JOHNNIE WALKER WHISKY BLONDE GFA VD750ML</t>
  </si>
  <si>
    <t>LACTA BIS XTRA AO LEITE PCT 45G CX C 24</t>
  </si>
  <si>
    <t>LACTA OURO BRANCO 1 UN 20G PCT C 540G</t>
  </si>
  <si>
    <t>LACTA OURO BRANCO WAFER RECH PCT25G DP15</t>
  </si>
  <si>
    <t>LACTA SONHO DE VALSA 1 UN 20G PCT C 540G</t>
  </si>
  <si>
    <t>LACTA SONHO VALSA STICK WAFR PCT25G DP15</t>
  </si>
  <si>
    <t>LACTA XTRA BLACK 45G CX C 24</t>
  </si>
  <si>
    <t>LARIOS 12 GFA VD 700ML</t>
  </si>
  <si>
    <t>LIPTON LIMAO PET 1,5 SHRINK C/6 HF</t>
  </si>
  <si>
    <t>LIPTON LIMﾃO PET 500ML SHRINK C/12</t>
  </si>
  <si>
    <t>LIPTON PESSEGO PET 1,5 SHRINK C/6 HF</t>
  </si>
  <si>
    <t>LIPTON PﾊSSEGO PET 500ML SHRINK C/12</t>
  </si>
  <si>
    <t>MALZBIER BRAHMA LATA 350ML SH C/12 NPAL</t>
  </si>
  <si>
    <t>MALZBIER BRAHMA LN355ML SIX PAC BAND C/4</t>
  </si>
  <si>
    <t>MICHELOB ULTRA N LN 330ML SP SH C/4</t>
  </si>
  <si>
    <t>MICHELOB ULTRA N LT SLEEK 350ML C8 CX CA</t>
  </si>
  <si>
    <t>MIKES HARD LEM PITAIA N LT269ML SH12</t>
  </si>
  <si>
    <t>MIKES HARD LEMONADE N LT 269ML SH C/12</t>
  </si>
  <si>
    <t>MIKES HL N LN 275ML SIX PACK SH C/4</t>
  </si>
  <si>
    <t>MIKES HL N PITAIA LN 275ML SIX P SH C/4</t>
  </si>
  <si>
    <t>MINALBA AGUA M C GAS LATA 310ML FD12</t>
  </si>
  <si>
    <t>MINALBA AGUA M S GAS LATA 310ML FD12</t>
  </si>
  <si>
    <t>MINI OREO 35G CX C/10</t>
  </si>
  <si>
    <t>MONTILLA CARTA BRANCA GFA VIDRO 1L</t>
  </si>
  <si>
    <t>MONTILLA CARTA OURO GFA VIDRO 1L</t>
  </si>
  <si>
    <t>NATU NOBILIS APERITIVO GARRAFA VIDRO 1 L</t>
  </si>
  <si>
    <t>NINHO INTEGRAL VITAMINA CX 1L CX C/12</t>
  </si>
  <si>
    <t>NOVECENTO BLEND DE BLANC GFA 750ML CX C6</t>
  </si>
  <si>
    <t>NOVECENTO EXTRA BRUT OW X6 750CC</t>
  </si>
  <si>
    <t>NOVECENTO EXTRA DULCE OW X6 750CC</t>
  </si>
  <si>
    <t>NOVECENTO MALBEC OW X6 750CC</t>
  </si>
  <si>
    <t>NTO CABERNET OW X6 750CC</t>
  </si>
  <si>
    <t>OLD PARR WHISKY GFA VD 1L</t>
  </si>
  <si>
    <t>OREO ORIGINAL BISCOITO RECHE PCT 36G CX8</t>
  </si>
  <si>
    <t>ORIGINAL 600ML</t>
  </si>
  <si>
    <t>ORIGINAL GFA VD 1L</t>
  </si>
  <si>
    <t>ORIGINAL GFA VD 300ML CX C/23</t>
  </si>
  <si>
    <t>ORIGINAL LATA 350ML CX CARTAO C/12 NPAL</t>
  </si>
  <si>
    <t>ORIGINAL LT 269ML CX CARTAO C/8 NPAL</t>
  </si>
  <si>
    <t>ORIGINAL LT 350ML SH C/12 NP MULTIPACK</t>
  </si>
  <si>
    <t>ORIGINAL LT 473ML CX CARTAO C/12</t>
  </si>
  <si>
    <t>ORIGINAL ONE WAY 300ML CX PAPELAO C/12</t>
  </si>
  <si>
    <t>ORIGINAL ONE WAY 600ML CX 12</t>
  </si>
  <si>
    <t>ORLOFF DRY GFA VD 1 L</t>
  </si>
  <si>
    <t>ORLOFF GFA VIDRO 1L</t>
  </si>
  <si>
    <t>PASSPORT SCOTCH BLENDED GFA VIDRO 1 L</t>
  </si>
  <si>
    <t>PATAGONIA AMB LAG NAC  OW 740ML CX C6</t>
  </si>
  <si>
    <t>PATAGONIA AMB LAG NAC 600ML</t>
  </si>
  <si>
    <t>PATAGONIA AMB LAG NAC LATA 473ML 6PACK</t>
  </si>
  <si>
    <t>PATAGONIA AMBER LAGER LN355ML CX12</t>
  </si>
  <si>
    <t>PATAGONIA BOH PIL NAC LATA 473ML 6 PACK</t>
  </si>
  <si>
    <t>PATAGONIA BOH PILS NAC OW 740ML CX 6</t>
  </si>
  <si>
    <t>PATAGONIA BOHEMIAN PILSENER LN355ML CX12</t>
  </si>
  <si>
    <t>PATAGONIA IPA 600ML</t>
  </si>
  <si>
    <t>PATAGONIA IPA BARRIL KEG 30L NPAL</t>
  </si>
  <si>
    <t>PATAGONIA IPA LATA 473ML 6PACK CARTAO</t>
  </si>
  <si>
    <t>PATAGONIA IPA LN 355ML CX C/12</t>
  </si>
  <si>
    <t>PATAGONIA IPA ONE WAY 740ML CX6</t>
  </si>
  <si>
    <t>PATAGONIA WEISSE LN355ML CX12</t>
  </si>
  <si>
    <t>PATAGONIA WEISSE NAC LATA 473ML 6 PACK</t>
  </si>
  <si>
    <t>PATAGONIA WEISSE NACIONAL OW 740ML CX 6</t>
  </si>
  <si>
    <t>PEPSI BLACK 1,5L SH C/6</t>
  </si>
  <si>
    <t>PEPSI BLACK PET 200ML SH C/12</t>
  </si>
  <si>
    <t>PEPSI BLACK PET 600ML SH C 12 NPAL</t>
  </si>
  <si>
    <t>PEPSI COLA GFA VD 1L</t>
  </si>
  <si>
    <t>PEPSI COLA LATA 350ML SH C/12 NPAL</t>
  </si>
  <si>
    <t>PEPSI COLA MIX BAG IN BOX 18L</t>
  </si>
  <si>
    <t>PEPSI COLA PET  200ML SH C/12</t>
  </si>
  <si>
    <t>PEPSI COLA PET 1,5L  CX C/06</t>
  </si>
  <si>
    <t>PEPSI COLA PET 1L CAIXA C/6</t>
  </si>
  <si>
    <t>PEPSI COLA PET 2,25L CAIXA C/6</t>
  </si>
  <si>
    <t>PEPSI COLA PET 2,5L CAIXA C/6</t>
  </si>
  <si>
    <t>PEPSI COLA PET 2L CAIXA C/6</t>
  </si>
  <si>
    <t>PEPSI COLA PET 3000 ML C/04 SH LISO.</t>
  </si>
  <si>
    <t>PEPSI COLA PET 600ML CX C/12 NPAL</t>
  </si>
  <si>
    <t>PEPSI TWIST 3 LATA 350ML SH C/12 NPAL</t>
  </si>
  <si>
    <t>PEPSI TWIST LATA 350ML SH C/12 NPAL</t>
  </si>
  <si>
    <t>PEPSI TWIST MIX BAG IN BOX  18L</t>
  </si>
  <si>
    <t>PEPSI TWIST PET 200ML SH C/12</t>
  </si>
  <si>
    <t>PEPSI TWIST PET 2L SHRINK C/6</t>
  </si>
  <si>
    <t>PEPSI ZERO LATA 350ML SH C/12 NPAL</t>
  </si>
  <si>
    <t>PEPSI ZERO MIX BAG IN BOX 18L</t>
  </si>
  <si>
    <t>PEPSI ZERO PET 2L CX C/6</t>
  </si>
  <si>
    <t>PIRACANJUBA CREME DE LEITE TETRAPAK 200G CX C/27</t>
  </si>
  <si>
    <t>PIRACANJUBA LEITE CONDENSADO TETRAPAK 395G CX C/27</t>
  </si>
  <si>
    <t>PIRACANJUBA SEM DES CX 1L CX12</t>
  </si>
  <si>
    <t>PIRACANJUBA UHT INTEGRAL CX 1L CX C/12</t>
  </si>
  <si>
    <t>PIRACANJUBA WHEY CHOCOLATE TPAK 250MLC12</t>
  </si>
  <si>
    <t>PIRACANJUBA WHEY MORANGO TPAK 250MLC12</t>
  </si>
  <si>
    <t>PIRAKIDS BEB. LACTEA CHOC. TP 200ML CX27</t>
  </si>
  <si>
    <t>PIRASSUNUNGA 51 GFA VIDRO 965ML</t>
  </si>
  <si>
    <t>POP KISS PIRULITO CEREJA PCT PLAST 500G</t>
  </si>
  <si>
    <t>PRESIDENTE GFA VIDRO 900ML</t>
  </si>
  <si>
    <t>PUREZA VITAL AGUA MIN. C GAS GFA PET 510ML FD C/12</t>
  </si>
  <si>
    <t>PUREZA VITAL AGUA MIN. S GAS GFA PET 1,5L FD C/6</t>
  </si>
  <si>
    <t>PUREZA VITAL AGUA MIN. S GAS GFA PET 510ML FD C/12</t>
  </si>
  <si>
    <t>QUERO MILHO VERDE LATA 170G</t>
  </si>
  <si>
    <t>RED BULL AMORA LT 250ML FOUR PACK</t>
  </si>
  <si>
    <t>RED BULL BR LATA 250ML CAIXA C/24</t>
  </si>
  <si>
    <t>RED BULL BR LATA 250ML SIX PACK NPAL</t>
  </si>
  <si>
    <t>RED BULL BR LATA 355ML FOUR PACK</t>
  </si>
  <si>
    <t>RED BULL BR LATA 473ML CX C 12</t>
  </si>
  <si>
    <t>RED BULL MELANCIA LT 250ML FOUR PACK NPA</t>
  </si>
  <si>
    <t>RED BULL PITAYA LT 250ML FOUR PACK NPAL</t>
  </si>
  <si>
    <t>RED BULL S MOR E PESSEGO LT 250ML FOUR P</t>
  </si>
  <si>
    <t>RED BULL SF POMELO LATA 250ML FOUR PACK</t>
  </si>
  <si>
    <t>RED BULL SUGAR FREE BR LT 355ML FOURPACK</t>
  </si>
  <si>
    <t>RED BULL SUGAR FREE LATA 250ML FOUR PACK</t>
  </si>
  <si>
    <t>RED BULL SUM MAR E MELAO LT 250ML CX C24</t>
  </si>
  <si>
    <t>RED BULL SUM MARAC E MELAO LT 250ML FP</t>
  </si>
  <si>
    <t>RED BULL TROP BR LT 250ML FOUR PACK NPAL</t>
  </si>
  <si>
    <t>RED BULL TROPICAL BR LATA 473ML CX C 12</t>
  </si>
  <si>
    <t>RENO VINHO TINTO GFA VD 750ML</t>
  </si>
  <si>
    <t>ROCKS DRY GIN GARRAFA VIDRO 1 L</t>
  </si>
  <si>
    <t>SALTON CHAL. VINHO BRANCO SECO GFA VD 750 ML</t>
  </si>
  <si>
    <t>SAN PELLEGRINO COM GAS GARRAFA VD 505 ML CX 24</t>
  </si>
  <si>
    <t>SAO FRANCISCO CACHACA GARRAFA VD 970ML</t>
  </si>
  <si>
    <t>SEAGERS GFA VIDRO 1L</t>
  </si>
  <si>
    <t>SERRAMALTE LATA 350ML SIX PACK SH C/2 NP</t>
  </si>
  <si>
    <t>SKOL 600ML</t>
  </si>
  <si>
    <t>SKOL BEATS CAIPIRINHA LN 269ML SXP SH C4</t>
  </si>
  <si>
    <t>SKOL BEATS GT LN 269ML SIX-PACK SH C/2</t>
  </si>
  <si>
    <t>SKOL BEATS GT LN 269ML SIX-PACK SH C/4</t>
  </si>
  <si>
    <t>SKOL BEATS GT LT 269ML CX CAR C/8</t>
  </si>
  <si>
    <t>SKOL BEATS SENSES LATA 269ML CX C/8 FRID</t>
  </si>
  <si>
    <t>SKOL BEATS SENSES LN 269ML CX C/6</t>
  </si>
  <si>
    <t>SKOL BEATS SENSES LN 269ML SXP SH C/2</t>
  </si>
  <si>
    <t>SKOL BEATS SENSES LT 473ML SP SH C/2 NPA</t>
  </si>
  <si>
    <t>SKOL BT CAIPIRINHA LT 269ML CX CA C/8 NP</t>
  </si>
  <si>
    <t>SKOL GFA VD 1L 2,99</t>
  </si>
  <si>
    <t>SKOL GFA VD 300ML CX 23</t>
  </si>
  <si>
    <t>SKOL LATA 350ML SH C/12 MULTIPAK</t>
  </si>
  <si>
    <t>SKOL LATA 350ML SH C/12 NPAL</t>
  </si>
  <si>
    <t>SKOL LATA 350ML SH C/18 NPAL MULTPACK</t>
  </si>
  <si>
    <t>SKOL LT 269ML SH C/15 NPAL</t>
  </si>
  <si>
    <t>SKOL LT 473ML SH C/12 NPAL</t>
  </si>
  <si>
    <t>SKOL ONE WAY 300ML CX PAPELAO C/12</t>
  </si>
  <si>
    <t>SMIRNOFF ICE GFA VD 275ML CX C/24</t>
  </si>
  <si>
    <t>SMIRNOFF ICE LT 269 ML CX C/24</t>
  </si>
  <si>
    <t>SMIRNOFF ORIGINAL GFA VIDRO 998ML</t>
  </si>
  <si>
    <t>SMIRNOFF VODKA N21 GFA PET 1,75L</t>
  </si>
  <si>
    <t>SODA LIMONADA ANT PET 200ML SH C/12</t>
  </si>
  <si>
    <t>SODA LIMONADA ANTAR LT350ML SH C/12 NPAL</t>
  </si>
  <si>
    <t>SODA LIMONADA ANTAR MIX BAG IN BOX 18L</t>
  </si>
  <si>
    <t>SODA LIMONADA ANTARCT DIET LT350MLSHC/12</t>
  </si>
  <si>
    <t>SODA LIMONADA ANTARCT DIET PET 2L CX C/6</t>
  </si>
  <si>
    <t>SODA LIMONADA ANTARCTICA PET 2L CX C/6</t>
  </si>
  <si>
    <t>SODA LIMONADA ANTARCTICA PET600ML CXC/12</t>
  </si>
  <si>
    <t>SPATEN LT 269ML CX CARTAO C/8 NPAL</t>
  </si>
  <si>
    <t>SPATEN LT 473ML CX CARTAO C/12</t>
  </si>
  <si>
    <t>SPATEN N 600ML</t>
  </si>
  <si>
    <t>SPATEN N LN 355ML SIXPACK SH C/4</t>
  </si>
  <si>
    <t>SPATEN N LONG NECK 330ML SIX-PACK SH C4</t>
  </si>
  <si>
    <t>SPATEN N LT SLEEK 350ML CX CART C12</t>
  </si>
  <si>
    <t>SPATEN N ONE WAY 600ML CX C/12 NP ARTE</t>
  </si>
  <si>
    <t>STA. RITA 120 RES. ESP. CAB. SAUV. GFA VD 750ML</t>
  </si>
  <si>
    <t>STA. RITA 120 RES. ESP. CAMERNERE GFA VD 750ML</t>
  </si>
  <si>
    <t>STA. RITA 120 RES. ESP. SAUV. BLANC GFA VD 750ML</t>
  </si>
  <si>
    <t>STA. RITA TRES MEDALLAS CAB. SAUV. GFA VD 750ML</t>
  </si>
  <si>
    <t>STA. RITA TRES MEDALLAS CAMERNERE GFA VD 750ML</t>
  </si>
  <si>
    <t>STELLA ART PUR GOLD LT 473ML CX CART C12</t>
  </si>
  <si>
    <t>STELLA ART PUR GOLD LT SL 350ML C8 CX CT</t>
  </si>
  <si>
    <t>STELLA ARTOIS  600ML</t>
  </si>
  <si>
    <t>STELLA ARTOIS 550 ML</t>
  </si>
  <si>
    <t>STELLA ARTOIS LN 330ML 6PACK SHR C 4</t>
  </si>
  <si>
    <t>STELLA ARTOIS LT 473ML CX CARTAO C/12</t>
  </si>
  <si>
    <t>STELLA ARTOIS LT SLEEK 350ML C 8 CX CART</t>
  </si>
  <si>
    <t>STELLA ARTOIS LT269ML CX C/8 FRIDGE PACK</t>
  </si>
  <si>
    <t>STELLA ARTOIS ONE WAY 600ML CX 12</t>
  </si>
  <si>
    <t>STELLA ARTOIS PURE GOLD LN 330 SXP SH C4</t>
  </si>
  <si>
    <t>SUKITA LATA 350ML SH C/12 NPAL</t>
  </si>
  <si>
    <t>SUKITA LIMAO PET 2L CAIXA C/6</t>
  </si>
  <si>
    <t>SUKITA MIX BAG IN BOX 18L</t>
  </si>
  <si>
    <t>SUKITA PET 1L CAIXA C/6</t>
  </si>
  <si>
    <t>SUKITA PET 200ML SH C/12</t>
  </si>
  <si>
    <t>SUKITA PET 2L CAIXA C/6</t>
  </si>
  <si>
    <t>SUKITA PET 600ML CX C/12 NPAL</t>
  </si>
  <si>
    <t>SUKITA TUBAINA PET 2L SHRINK C/6</t>
  </si>
  <si>
    <t>SUKITA UVA LATA 350ML SH C/12 NPAL</t>
  </si>
  <si>
    <t>SUKITA UVA PET 2L CAIXA C/6</t>
  </si>
  <si>
    <t>TANG REFRESCO EM PO UVA PCT 18G DP C/18</t>
  </si>
  <si>
    <t>TANG REFRESCO PO ABACAXI PCT 18G DP C18</t>
  </si>
  <si>
    <t>TANG REFRESCO PO LARANJA PCT 18G DP C18</t>
  </si>
  <si>
    <t>TANG REFRESCO PO LIMAO PCT 18G DP C18</t>
  </si>
  <si>
    <t>TANG REFRESCO PO MARACUJA PCT 18G DP C18</t>
  </si>
  <si>
    <t>TANG REFRESCO PO MORANGO PCT 18G DP C18</t>
  </si>
  <si>
    <t>TANQUERAY LONDON DRY GFA VD 750ML</t>
  </si>
  <si>
    <t>TONICA ANTARCTICA 290ML</t>
  </si>
  <si>
    <t>TONICA ANTARCTICA DIET LT350MLSHC/12 PAL</t>
  </si>
  <si>
    <t>TONICA ANTARCTICA LT 350ML SH C/12 NPAL</t>
  </si>
  <si>
    <t>TONICA ANTARCTICA PET1LSH C/06</t>
  </si>
  <si>
    <t>TONICA ANTARCTICA ZERO PET 1L SH C/06</t>
  </si>
  <si>
    <t>TRIDENT CANELA ENVELOPE 8G CX C/21</t>
  </si>
  <si>
    <t>TRIDENT HORTELA 8G CX C/21</t>
  </si>
  <si>
    <t>TRIDENT MELANCIA 8G CX C/21</t>
  </si>
  <si>
    <t>TRIDENT MENTA 8G CX C/21</t>
  </si>
  <si>
    <t>TRIDENT MORANGO ENVELOPE 8G CX C21</t>
  </si>
  <si>
    <t>TRIDENT TUTTI-FRUTTI 8G CX C/21</t>
  </si>
  <si>
    <t>TRIDENT XFRESH 5S PRETO CEREJA ENVELOPE 8G CX C/21</t>
  </si>
  <si>
    <t>TRIDENT XFRESH HERBAL ENVELOPE 8G CX C21</t>
  </si>
  <si>
    <t>TRIDENT XFRESH INTENSE 8G CX C/ 21</t>
  </si>
  <si>
    <t>VELHO BARREIRO GFA VIDRO 910ML</t>
  </si>
  <si>
    <t>WHITE HORSE GFA VIDRO 1L</t>
  </si>
  <si>
    <t>XEQUE MATE BEB M M RUM G LIMAOLT355MLC12</t>
  </si>
  <si>
    <t>YPE DESINFETANTE PINHO TRADICAO FRASCO PLAST 500ML CX/12</t>
  </si>
  <si>
    <t>YPE ESPON SINT MULT PCT PL 8G PACK C/10</t>
  </si>
  <si>
    <t>YPE LAVA LOUCA L CLEAR FRASC PL 500ML C6</t>
  </si>
  <si>
    <t>YPE LAVA LOUCA L NEUTRO FRASC PL 500MLC6</t>
  </si>
  <si>
    <t>YPE LIMPADOR MULT CLASSICO FRASC500MLC12</t>
  </si>
  <si>
    <t>YPE TIXAN LAVA ROUPAS PRIMAVEA CAIXA800G</t>
  </si>
  <si>
    <t>YPIOCA CONTA GOTAS GOLD GFA VD 965ML</t>
  </si>
  <si>
    <t>YVY GIN SECO CLASSICO MAR GFAVD 750ML</t>
  </si>
  <si>
    <t>YVY GIN SECO CLASSICO MAR LATA 710ML</t>
  </si>
  <si>
    <t>YVY GIN SECO CONTEMPORANEO AR GFAVD750ML</t>
  </si>
  <si>
    <t>YVY GIN SECO CONTEMPORANEO AR LATA 710ML</t>
  </si>
  <si>
    <t>YVY GIN SECO NATIVO TERRA GFAVD 750ML</t>
  </si>
  <si>
    <t>YVY GIN SECO NATIVO TERRA LATA 710ML</t>
  </si>
  <si>
    <t>YVY VODKA GFAVD 750ML</t>
  </si>
  <si>
    <t>YVY VODKA LATA 710 ML</t>
  </si>
  <si>
    <t>ﾁGUA MINERAL S/ GﾁS AMA PET 1,5L CX 6 NP</t>
  </si>
  <si>
    <t>Microfuro </t>
  </si>
  <si>
    <t>Filme rasgado </t>
  </si>
  <si>
    <t>Produto avariado-embal.primária</t>
  </si>
  <si>
    <t>Palete quebrado</t>
  </si>
  <si>
    <t>Lote e conformidade </t>
  </si>
  <si>
    <t>Rotulo avariado</t>
  </si>
  <si>
    <t>Limpeza do lote</t>
  </si>
  <si>
    <t>Sem chapatex em cima</t>
  </si>
  <si>
    <t>Limpeza não conforme </t>
  </si>
  <si>
    <t>Produto avariado/embal.segundária</t>
  </si>
  <si>
    <t>Organização não conforme </t>
  </si>
  <si>
    <t>Revisão Geral</t>
  </si>
  <si>
    <t>Garrafeira quebrada </t>
  </si>
  <si>
    <t>Erro curva ABC</t>
  </si>
  <si>
    <t>Lote desalinhado</t>
  </si>
  <si>
    <t>Erro de FEFO</t>
  </si>
  <si>
    <t>Pilha com inclinação </t>
  </si>
  <si>
    <t>Mistura de PET e LATA</t>
  </si>
  <si>
    <t>Fora do padrão de empilhamento</t>
  </si>
  <si>
    <t>IN21</t>
  </si>
  <si>
    <t>IN25</t>
  </si>
  <si>
    <t>AG70</t>
  </si>
  <si>
    <t>.</t>
  </si>
  <si>
    <t>AG35</t>
  </si>
  <si>
    <t>AG33</t>
  </si>
  <si>
    <t>Ag28</t>
  </si>
  <si>
    <t>0</t>
  </si>
  <si>
    <t>9</t>
  </si>
  <si>
    <t>BG17</t>
  </si>
  <si>
    <t>Bg08</t>
  </si>
  <si>
    <t>Bg03</t>
  </si>
  <si>
    <t>Revisão Geral,Limpeza do lote</t>
  </si>
  <si>
    <t>Filme rasgado ,NRI (incorreta / ausente)</t>
  </si>
  <si>
    <t>ANO/MÊS</t>
  </si>
  <si>
    <t>Ag21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</si>
</sst>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2" xfId="0" applyNumberFormat="1" applyFont="1" applyBorder="1"/>
  </cellXfs>
  <cellStyles count="1">
    <cellStyle name="Normal" xfId="0" builtinId="0"/>
  </cellStyles>
  <dxfs count="10"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190" totalsRowShown="0">
  <autoFilter ref="A1:J1190" xr:uid="{00000000-0009-0000-0100-000001000000}"/>
  <tableColumns count="10">
    <tableColumn id="1" xr3:uid="{00000000-0010-0000-0000-000001000000}" name="ID" dataDxfId="9"/>
    <tableColumn id="2" xr3:uid="{00000000-0010-0000-0000-000002000000}" name="Hora de início" dataDxfId="8"/>
    <tableColumn id="3" xr3:uid="{00000000-0010-0000-0000-000003000000}" name="Hora de conclusão" dataDxfId="7"/>
    <tableColumn id="9" xr3:uid="{00000000-0010-0000-0000-000009000000}" name="Nome do avaliador " dataDxfId="6"/>
    <tableColumn id="15" xr3:uid="{00000000-0010-0000-0000-00000F000000}" name="Área avaliada" dataDxfId="5"/>
    <tableColumn id="21" xr3:uid="{00000000-0010-0000-0000-000015000000}" name="QUAL O ENDEREÇO? " dataDxfId="4"/>
    <tableColumn id="24" xr3:uid="{00000000-0010-0000-0000-000018000000}" name="Código do produto" dataDxfId="3"/>
    <tableColumn id="6" xr3:uid="{4D8D8453-8EB6-472A-ACEA-EB928F5D32EC}" name="Coluna1" dataDxfId="2">
      <calculatedColumnFormula>VLOOKUP(G2,Produtos!A:B,2,FALSE)</calculatedColumnFormula>
    </tableColumn>
    <tableColumn id="48" xr3:uid="{00000000-0010-0000-0000-000030000000}" name="Tipo incidente " dataDxfId="1"/>
    <tableColumn id="4" xr3:uid="{64AC147D-9CC3-4DF0-9502-3B90BC04325A}" name="ANO/MÊS" dataDxfId="0">
      <calculatedColumnFormula>YEAR(Table1[[#This Row],[Hora de início]])&amp;"/"&amp;IF(MONTH(Table1[[#This Row],[Hora de início]])&lt;10,"0"&amp;MONTH(Table1[[#This Row],[Hora de início]]),MONTH(Table1[[#This Row],[Hora de início]]))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0"/>
  <sheetViews>
    <sheetView tabSelected="1" topLeftCell="A1173" workbookViewId="0">
      <selection activeCell="I1181" sqref="I1181"/>
    </sheetView>
  </sheetViews>
  <sheetFormatPr defaultRowHeight="15" x14ac:dyDescent="0.25"/>
  <cols>
    <col min="1" max="7" width="20" bestFit="1" customWidth="1"/>
    <col min="8" max="8" width="48.7109375" customWidth="1"/>
    <col min="9" max="9" width="100.5703125" bestFit="1" customWidth="1"/>
    <col min="10" max="23" width="20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65</v>
      </c>
      <c r="I1" s="3" t="s">
        <v>7</v>
      </c>
      <c r="J1" t="s">
        <v>524</v>
      </c>
    </row>
    <row r="2" spans="1:10" x14ac:dyDescent="0.25">
      <c r="A2">
        <v>1</v>
      </c>
      <c r="B2" s="1">
        <v>45722.405601851897</v>
      </c>
      <c r="C2" s="1">
        <v>45722.407187500001</v>
      </c>
      <c r="D2" s="3" t="s">
        <v>8</v>
      </c>
      <c r="E2" s="3" t="s">
        <v>9</v>
      </c>
      <c r="F2" s="3"/>
      <c r="G2" s="3"/>
      <c r="H2" s="3" t="e">
        <f>VLOOKUP(G2,Produtos!A:B,2,FALSE)</f>
        <v>#N/A</v>
      </c>
      <c r="I2" s="3"/>
      <c r="J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3" spans="1:10" x14ac:dyDescent="0.25">
      <c r="A3">
        <v>2</v>
      </c>
      <c r="B3" s="1">
        <v>45723.428356481498</v>
      </c>
      <c r="C3" s="1">
        <v>45723.4290162037</v>
      </c>
      <c r="D3" s="3" t="s">
        <v>10</v>
      </c>
      <c r="E3" s="3" t="s">
        <v>11</v>
      </c>
      <c r="F3" s="3"/>
      <c r="G3" s="3"/>
      <c r="H3" s="3" t="e">
        <f>VLOOKUP(G3,Produtos!A:B,2,FALSE)</f>
        <v>#N/A</v>
      </c>
      <c r="I3" s="3"/>
      <c r="J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4" spans="1:10" x14ac:dyDescent="0.25">
      <c r="A4">
        <v>3</v>
      </c>
      <c r="B4" s="1">
        <v>45723.445775462998</v>
      </c>
      <c r="C4" s="1">
        <v>45723.446608796301</v>
      </c>
      <c r="D4" s="3" t="s">
        <v>10</v>
      </c>
      <c r="E4" s="3" t="s">
        <v>11</v>
      </c>
      <c r="F4" s="3"/>
      <c r="G4" s="3"/>
      <c r="H4" s="3" t="e">
        <f>VLOOKUP(G4,Produtos!A:B,2,FALSE)</f>
        <v>#N/A</v>
      </c>
      <c r="I4" s="3"/>
      <c r="J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5" spans="1:10" x14ac:dyDescent="0.25">
      <c r="A5">
        <v>4</v>
      </c>
      <c r="B5" s="1">
        <v>45723.447453703702</v>
      </c>
      <c r="C5" s="1">
        <v>45723.448344907403</v>
      </c>
      <c r="D5" s="3" t="s">
        <v>12</v>
      </c>
      <c r="E5" s="3" t="s">
        <v>9</v>
      </c>
      <c r="F5" s="3"/>
      <c r="G5" s="3"/>
      <c r="H5" s="3" t="e">
        <f>VLOOKUP(G5,Produtos!A:B,2,FALSE)</f>
        <v>#N/A</v>
      </c>
      <c r="I5" s="3"/>
      <c r="J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6" spans="1:10" x14ac:dyDescent="0.25">
      <c r="A6">
        <v>5</v>
      </c>
      <c r="B6" s="1">
        <v>45735.410439814797</v>
      </c>
      <c r="C6" s="1">
        <v>45735.416192129604</v>
      </c>
      <c r="D6" s="3" t="s">
        <v>8</v>
      </c>
      <c r="E6" s="3" t="s">
        <v>13</v>
      </c>
      <c r="F6" s="3"/>
      <c r="G6" s="3"/>
      <c r="H6" s="3" t="e">
        <f>VLOOKUP(G6,Produtos!A:B,2,FALSE)</f>
        <v>#N/A</v>
      </c>
      <c r="I6" s="3"/>
      <c r="J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7" spans="1:10" x14ac:dyDescent="0.25">
      <c r="A7">
        <v>6</v>
      </c>
      <c r="B7" s="1">
        <v>45735.416377314803</v>
      </c>
      <c r="C7" s="1">
        <v>45735.417314814797</v>
      </c>
      <c r="D7" s="3" t="s">
        <v>14</v>
      </c>
      <c r="E7" s="3" t="s">
        <v>15</v>
      </c>
      <c r="F7" s="3"/>
      <c r="G7" s="3"/>
      <c r="H7" s="3" t="e">
        <f>VLOOKUP(G7,Produtos!A:B,2,FALSE)</f>
        <v>#N/A</v>
      </c>
      <c r="I7" s="3"/>
      <c r="J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8" spans="1:10" x14ac:dyDescent="0.25">
      <c r="A8">
        <v>7</v>
      </c>
      <c r="B8" s="1">
        <v>45735.454143518502</v>
      </c>
      <c r="C8" s="1">
        <v>45735.4558217593</v>
      </c>
      <c r="D8" s="3" t="s">
        <v>8</v>
      </c>
      <c r="E8" s="3" t="s">
        <v>16</v>
      </c>
      <c r="F8" s="3"/>
      <c r="G8" s="3"/>
      <c r="H8" s="3" t="e">
        <f>VLOOKUP(G8,Produtos!A:B,2,FALSE)</f>
        <v>#N/A</v>
      </c>
      <c r="I8" s="3"/>
      <c r="J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9" spans="1:10" x14ac:dyDescent="0.25">
      <c r="A9">
        <v>8</v>
      </c>
      <c r="B9" s="1">
        <v>45735.455925925897</v>
      </c>
      <c r="C9" s="1">
        <v>45735.457037036998</v>
      </c>
      <c r="D9" s="3" t="s">
        <v>17</v>
      </c>
      <c r="E9" s="3" t="s">
        <v>15</v>
      </c>
      <c r="F9" s="3"/>
      <c r="G9" s="3"/>
      <c r="H9" s="3" t="e">
        <f>VLOOKUP(G9,Produtos!A:B,2,FALSE)</f>
        <v>#N/A</v>
      </c>
      <c r="I9" s="3"/>
      <c r="J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0" spans="1:10" x14ac:dyDescent="0.25">
      <c r="A10">
        <v>9</v>
      </c>
      <c r="B10" s="1">
        <v>45735.457152777803</v>
      </c>
      <c r="C10" s="1">
        <v>45735.457789351902</v>
      </c>
      <c r="D10" s="3" t="s">
        <v>18</v>
      </c>
      <c r="E10" s="3" t="s">
        <v>19</v>
      </c>
      <c r="F10" s="3"/>
      <c r="G10" s="3"/>
      <c r="H10" s="3" t="e">
        <f>VLOOKUP(G10,Produtos!A:B,2,FALSE)</f>
        <v>#N/A</v>
      </c>
      <c r="I10" s="3"/>
      <c r="J1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1" spans="1:10" x14ac:dyDescent="0.25">
      <c r="A11">
        <v>10</v>
      </c>
      <c r="B11" s="1">
        <v>45735.457847222198</v>
      </c>
      <c r="C11" s="1">
        <v>45735.458391203698</v>
      </c>
      <c r="D11" s="3" t="s">
        <v>20</v>
      </c>
      <c r="E11" s="3" t="s">
        <v>21</v>
      </c>
      <c r="F11" s="3"/>
      <c r="G11" s="3"/>
      <c r="H11" s="3" t="e">
        <f>VLOOKUP(G11,Produtos!A:B,2,FALSE)</f>
        <v>#N/A</v>
      </c>
      <c r="I11" s="3"/>
      <c r="J1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2" spans="1:10" x14ac:dyDescent="0.25">
      <c r="A12">
        <v>11</v>
      </c>
      <c r="B12" s="1">
        <v>45735.4585532407</v>
      </c>
      <c r="C12" s="1">
        <v>45735.459907407399</v>
      </c>
      <c r="D12" s="3" t="s">
        <v>22</v>
      </c>
      <c r="E12" s="3" t="s">
        <v>13</v>
      </c>
      <c r="F12" s="3"/>
      <c r="G12" s="3"/>
      <c r="H12" s="3" t="e">
        <f>VLOOKUP(G12,Produtos!A:B,2,FALSE)</f>
        <v>#N/A</v>
      </c>
      <c r="I12" s="3"/>
      <c r="J1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3" spans="1:10" x14ac:dyDescent="0.25">
      <c r="A13">
        <v>12</v>
      </c>
      <c r="B13" s="1">
        <v>45735.459988425901</v>
      </c>
      <c r="C13" s="1">
        <v>45735.460659722201</v>
      </c>
      <c r="D13" s="3" t="s">
        <v>23</v>
      </c>
      <c r="E13" s="3" t="s">
        <v>24</v>
      </c>
      <c r="F13" s="3"/>
      <c r="G13" s="3"/>
      <c r="H13" s="3" t="e">
        <f>VLOOKUP(G13,Produtos!A:B,2,FALSE)</f>
        <v>#N/A</v>
      </c>
      <c r="I13" s="3"/>
      <c r="J1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4" spans="1:10" x14ac:dyDescent="0.25">
      <c r="A14">
        <v>13</v>
      </c>
      <c r="B14" s="1">
        <v>45735.460729166698</v>
      </c>
      <c r="C14" s="1">
        <v>45735.461759259299</v>
      </c>
      <c r="D14" s="3" t="s">
        <v>25</v>
      </c>
      <c r="E14" s="3" t="s">
        <v>26</v>
      </c>
      <c r="F14" s="3"/>
      <c r="G14" s="3"/>
      <c r="H14" s="3" t="e">
        <f>VLOOKUP(G14,Produtos!A:B,2,FALSE)</f>
        <v>#N/A</v>
      </c>
      <c r="I14" s="3"/>
      <c r="J1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5" spans="1:10" x14ac:dyDescent="0.25">
      <c r="A15">
        <v>14</v>
      </c>
      <c r="B15" s="1">
        <v>45735.461921296301</v>
      </c>
      <c r="C15" s="1">
        <v>45735.462777777801</v>
      </c>
      <c r="D15" s="3" t="s">
        <v>27</v>
      </c>
      <c r="E15" s="3" t="s">
        <v>13</v>
      </c>
      <c r="F15" s="3"/>
      <c r="G15" s="3"/>
      <c r="H15" s="3" t="e">
        <f>VLOOKUP(G15,Produtos!A:B,2,FALSE)</f>
        <v>#N/A</v>
      </c>
      <c r="I15" s="3"/>
      <c r="J1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6" spans="1:10" x14ac:dyDescent="0.25">
      <c r="A16">
        <v>15</v>
      </c>
      <c r="B16" s="1">
        <v>45735.462847222203</v>
      </c>
      <c r="C16" s="1">
        <v>45735.464872685203</v>
      </c>
      <c r="D16" s="3" t="s">
        <v>28</v>
      </c>
      <c r="E16" s="3" t="s">
        <v>15</v>
      </c>
      <c r="F16" s="3"/>
      <c r="G16" s="3"/>
      <c r="H16" s="3" t="e">
        <f>VLOOKUP(G16,Produtos!A:B,2,FALSE)</f>
        <v>#N/A</v>
      </c>
      <c r="I16" s="3"/>
      <c r="J1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7" spans="1:10" x14ac:dyDescent="0.25">
      <c r="A17">
        <v>16</v>
      </c>
      <c r="B17" s="1">
        <v>45735.465069444399</v>
      </c>
      <c r="C17" s="1">
        <v>45735.466377314799</v>
      </c>
      <c r="D17" s="3" t="s">
        <v>29</v>
      </c>
      <c r="E17" s="3" t="s">
        <v>16</v>
      </c>
      <c r="F17" s="3"/>
      <c r="G17" s="3"/>
      <c r="H17" s="3" t="e">
        <f>VLOOKUP(G17,Produtos!A:B,2,FALSE)</f>
        <v>#N/A</v>
      </c>
      <c r="I17" s="3"/>
      <c r="J17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8" spans="1:10" x14ac:dyDescent="0.25">
      <c r="A18">
        <v>17</v>
      </c>
      <c r="B18" s="1">
        <v>45735.466435185197</v>
      </c>
      <c r="C18" s="1">
        <v>45735.467094907399</v>
      </c>
      <c r="D18" s="3" t="s">
        <v>30</v>
      </c>
      <c r="E18" s="3" t="s">
        <v>15</v>
      </c>
      <c r="F18" s="3"/>
      <c r="G18" s="3"/>
      <c r="H18" s="3" t="e">
        <f>VLOOKUP(G18,Produtos!A:B,2,FALSE)</f>
        <v>#N/A</v>
      </c>
      <c r="I18" s="3"/>
      <c r="J18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19" spans="1:10" x14ac:dyDescent="0.25">
      <c r="A19">
        <v>18</v>
      </c>
      <c r="B19" s="1">
        <v>45735.467152777797</v>
      </c>
      <c r="C19" s="1">
        <v>45735.4678472222</v>
      </c>
      <c r="D19" s="3" t="s">
        <v>31</v>
      </c>
      <c r="E19" s="3" t="s">
        <v>26</v>
      </c>
      <c r="F19" s="3"/>
      <c r="G19" s="3"/>
      <c r="H19" s="3" t="e">
        <f>VLOOKUP(G19,Produtos!A:B,2,FALSE)</f>
        <v>#N/A</v>
      </c>
      <c r="I19" s="3"/>
      <c r="J19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0" spans="1:10" x14ac:dyDescent="0.25">
      <c r="A20">
        <v>19</v>
      </c>
      <c r="B20" s="1">
        <v>45735.4678935185</v>
      </c>
      <c r="C20" s="1">
        <v>45735.468738425901</v>
      </c>
      <c r="D20" s="3" t="s">
        <v>10</v>
      </c>
      <c r="E20" s="3" t="s">
        <v>13</v>
      </c>
      <c r="F20" s="3"/>
      <c r="G20" s="3"/>
      <c r="H20" s="3" t="e">
        <f>VLOOKUP(G20,Produtos!A:B,2,FALSE)</f>
        <v>#N/A</v>
      </c>
      <c r="I20" s="3"/>
      <c r="J20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1" spans="1:10" x14ac:dyDescent="0.25">
      <c r="A21">
        <v>20</v>
      </c>
      <c r="B21" s="1">
        <v>45735.468807870398</v>
      </c>
      <c r="C21" s="1">
        <v>45735.469432870399</v>
      </c>
      <c r="D21" s="3" t="s">
        <v>12</v>
      </c>
      <c r="E21" s="3" t="s">
        <v>16</v>
      </c>
      <c r="F21" s="3"/>
      <c r="G21" s="3"/>
      <c r="H21" s="3" t="e">
        <f>VLOOKUP(G21,Produtos!A:B,2,FALSE)</f>
        <v>#N/A</v>
      </c>
      <c r="I21" s="3"/>
      <c r="J21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2" spans="1:10" x14ac:dyDescent="0.25">
      <c r="A22">
        <v>21</v>
      </c>
      <c r="B22" s="1">
        <v>45735.469479166699</v>
      </c>
      <c r="C22" s="1">
        <v>45735.470185185201</v>
      </c>
      <c r="D22" s="3" t="s">
        <v>14</v>
      </c>
      <c r="E22" s="3" t="s">
        <v>24</v>
      </c>
      <c r="F22" s="3"/>
      <c r="G22" s="3"/>
      <c r="H22" s="3" t="e">
        <f>VLOOKUP(G22,Produtos!A:B,2,FALSE)</f>
        <v>#N/A</v>
      </c>
      <c r="I22" s="3"/>
      <c r="J22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3" spans="1:10" x14ac:dyDescent="0.25">
      <c r="A23">
        <v>22</v>
      </c>
      <c r="B23" s="1">
        <v>45737.671597222201</v>
      </c>
      <c r="C23" s="1">
        <v>45737.674918981502</v>
      </c>
      <c r="D23" s="3" t="s">
        <v>14</v>
      </c>
      <c r="E23" s="3" t="s">
        <v>24</v>
      </c>
      <c r="F23" s="3"/>
      <c r="G23" s="3"/>
      <c r="H23" s="3" t="e">
        <f>VLOOKUP(G23,Produtos!A:B,2,FALSE)</f>
        <v>#N/A</v>
      </c>
      <c r="I23" s="3"/>
      <c r="J23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4" spans="1:10" x14ac:dyDescent="0.25">
      <c r="A24">
        <v>23</v>
      </c>
      <c r="B24" s="1">
        <v>45737.675509259301</v>
      </c>
      <c r="C24" s="1">
        <v>45737.6775694444</v>
      </c>
      <c r="D24" s="3" t="s">
        <v>14</v>
      </c>
      <c r="E24" s="3" t="s">
        <v>24</v>
      </c>
      <c r="F24" s="3"/>
      <c r="G24" s="3"/>
      <c r="H24" s="3" t="e">
        <f>VLOOKUP(G24,Produtos!A:B,2,FALSE)</f>
        <v>#N/A</v>
      </c>
      <c r="I24" s="3"/>
      <c r="J24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5" spans="1:10" x14ac:dyDescent="0.25">
      <c r="A25">
        <v>24</v>
      </c>
      <c r="B25" s="1">
        <v>45740.442708333299</v>
      </c>
      <c r="C25" s="1">
        <v>45740.443993055596</v>
      </c>
      <c r="D25" s="3" t="s">
        <v>14</v>
      </c>
      <c r="E25" s="3" t="s">
        <v>26</v>
      </c>
      <c r="F25" s="3"/>
      <c r="G25" s="3"/>
      <c r="H25" s="3" t="e">
        <f>VLOOKUP(G25,Produtos!A:B,2,FALSE)</f>
        <v>#N/A</v>
      </c>
      <c r="I25" s="3"/>
      <c r="J25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6" spans="1:10" x14ac:dyDescent="0.25">
      <c r="A26">
        <v>25</v>
      </c>
      <c r="B26" s="1">
        <v>45747.860300925902</v>
      </c>
      <c r="C26" s="1">
        <v>45747.866875</v>
      </c>
      <c r="D26" s="3" t="s">
        <v>22</v>
      </c>
      <c r="E26" s="3" t="s">
        <v>15</v>
      </c>
      <c r="F26" s="3"/>
      <c r="G26" s="3"/>
      <c r="H26" s="3" t="e">
        <f>VLOOKUP(G26,Produtos!A:B,2,FALSE)</f>
        <v>#N/A</v>
      </c>
      <c r="I26" s="3"/>
      <c r="J26" s="1" t="str">
        <f>YEAR(Table1[[#This Row],[Hora de início]])&amp;"/"&amp;IF(MONTH(Table1[[#This Row],[Hora de início]])&lt;10,"0"&amp;MONTH(Table1[[#This Row],[Hora de início]]),MONTH(Table1[[#This Row],[Hora de início]]))</f>
        <v>2025/03</v>
      </c>
    </row>
    <row r="27" spans="1:10" x14ac:dyDescent="0.25">
      <c r="A27">
        <v>26</v>
      </c>
      <c r="B27" s="1">
        <v>45748.761701388903</v>
      </c>
      <c r="C27" s="1">
        <v>45748.776018518503</v>
      </c>
      <c r="D27" s="3" t="s">
        <v>30</v>
      </c>
      <c r="E27" s="3" t="s">
        <v>16</v>
      </c>
      <c r="F27" s="3"/>
      <c r="G27" s="3"/>
      <c r="H27" s="3" t="e">
        <f>VLOOKUP(G27,Produtos!A:B,2,FALSE)</f>
        <v>#N/A</v>
      </c>
      <c r="I27" s="3"/>
      <c r="J27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28" spans="1:10" x14ac:dyDescent="0.25">
      <c r="A28">
        <v>27</v>
      </c>
      <c r="B28" s="1">
        <v>45751.709201388898</v>
      </c>
      <c r="C28" s="1">
        <v>45751.731296296297</v>
      </c>
      <c r="D28" s="3" t="s">
        <v>29</v>
      </c>
      <c r="E28" s="3" t="s">
        <v>15</v>
      </c>
      <c r="F28" s="3"/>
      <c r="G28" s="3"/>
      <c r="H28" s="3" t="e">
        <f>VLOOKUP(G28,Produtos!A:B,2,FALSE)</f>
        <v>#N/A</v>
      </c>
      <c r="I28" s="3"/>
      <c r="J28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29" spans="1:10" x14ac:dyDescent="0.25">
      <c r="A29">
        <v>28</v>
      </c>
      <c r="B29" s="1">
        <v>45757.818206018499</v>
      </c>
      <c r="C29" s="1">
        <v>45757.831504629597</v>
      </c>
      <c r="D29" s="3" t="s">
        <v>30</v>
      </c>
      <c r="E29" s="3" t="s">
        <v>19</v>
      </c>
      <c r="F29" s="3"/>
      <c r="G29" s="3"/>
      <c r="H29" s="3" t="e">
        <f>VLOOKUP(G29,Produtos!A:B,2,FALSE)</f>
        <v>#N/A</v>
      </c>
      <c r="I29" s="3"/>
      <c r="J29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0" spans="1:10" x14ac:dyDescent="0.25">
      <c r="A30">
        <v>29</v>
      </c>
      <c r="B30" s="1">
        <v>45764.640682870398</v>
      </c>
      <c r="C30" s="1">
        <v>45764.645243055602</v>
      </c>
      <c r="D30" s="3" t="s">
        <v>32</v>
      </c>
      <c r="E30" s="3" t="s">
        <v>16</v>
      </c>
      <c r="F30" s="3"/>
      <c r="G30" s="3"/>
      <c r="H30" s="3" t="e">
        <f>VLOOKUP(G30,Produtos!A:B,2,FALSE)</f>
        <v>#N/A</v>
      </c>
      <c r="I30" s="3"/>
      <c r="J30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1" spans="1:10" x14ac:dyDescent="0.25">
      <c r="A31">
        <v>30</v>
      </c>
      <c r="B31" s="1">
        <v>45764.705000000002</v>
      </c>
      <c r="C31" s="1">
        <v>45764.707222222198</v>
      </c>
      <c r="D31" s="3" t="s">
        <v>22</v>
      </c>
      <c r="E31" s="3" t="s">
        <v>33</v>
      </c>
      <c r="F31" s="3"/>
      <c r="G31" s="3"/>
      <c r="H31" s="3" t="e">
        <f>VLOOKUP(G31,Produtos!A:B,2,FALSE)</f>
        <v>#N/A</v>
      </c>
      <c r="I31" s="3"/>
      <c r="J31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2" spans="1:10" x14ac:dyDescent="0.25">
      <c r="A32">
        <v>31</v>
      </c>
      <c r="B32" s="1">
        <v>45765.606481481504</v>
      </c>
      <c r="C32" s="1">
        <v>45765.607928240701</v>
      </c>
      <c r="D32" s="3" t="s">
        <v>29</v>
      </c>
      <c r="E32" s="3" t="s">
        <v>15</v>
      </c>
      <c r="F32" s="3"/>
      <c r="G32" s="3"/>
      <c r="H32" s="3" t="e">
        <f>VLOOKUP(G32,Produtos!A:B,2,FALSE)</f>
        <v>#N/A</v>
      </c>
      <c r="I32" s="3"/>
      <c r="J32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3" spans="1:10" x14ac:dyDescent="0.25">
      <c r="A33">
        <v>32</v>
      </c>
      <c r="B33" s="1">
        <v>45772.842118055603</v>
      </c>
      <c r="C33" s="1">
        <v>45772.843136574098</v>
      </c>
      <c r="D33" s="3" t="s">
        <v>29</v>
      </c>
      <c r="E33" s="3" t="s">
        <v>16</v>
      </c>
      <c r="F33" s="3"/>
      <c r="G33" s="3"/>
      <c r="H33" s="3" t="e">
        <f>VLOOKUP(G33,Produtos!A:B,2,FALSE)</f>
        <v>#N/A</v>
      </c>
      <c r="I33" s="3"/>
      <c r="J33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4" spans="1:10" x14ac:dyDescent="0.25">
      <c r="A34">
        <v>33</v>
      </c>
      <c r="B34" s="1">
        <v>45775.8191898148</v>
      </c>
      <c r="C34" s="1">
        <v>45775.820729166699</v>
      </c>
      <c r="D34" s="3" t="s">
        <v>22</v>
      </c>
      <c r="E34" s="3" t="s">
        <v>33</v>
      </c>
      <c r="F34" s="3"/>
      <c r="G34" s="3"/>
      <c r="H34" s="3" t="e">
        <f>VLOOKUP(G34,Produtos!A:B,2,FALSE)</f>
        <v>#N/A</v>
      </c>
      <c r="I34" s="3"/>
      <c r="J34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5" spans="1:10" x14ac:dyDescent="0.25">
      <c r="A35">
        <v>34</v>
      </c>
      <c r="B35" s="1">
        <v>45775.827187499999</v>
      </c>
      <c r="C35" s="1">
        <v>45775.831562500003</v>
      </c>
      <c r="D35" s="3" t="s">
        <v>27</v>
      </c>
      <c r="E35" s="3" t="s">
        <v>33</v>
      </c>
      <c r="F35" s="3"/>
      <c r="G35" s="3"/>
      <c r="H35" s="3" t="e">
        <f>VLOOKUP(G35,Produtos!A:B,2,FALSE)</f>
        <v>#N/A</v>
      </c>
      <c r="I35" s="3"/>
      <c r="J35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6" spans="1:10" x14ac:dyDescent="0.25">
      <c r="A36">
        <v>35</v>
      </c>
      <c r="B36" s="1">
        <v>45777.441782407397</v>
      </c>
      <c r="C36" s="1">
        <v>45777.442858796298</v>
      </c>
      <c r="D36" s="3" t="s">
        <v>22</v>
      </c>
      <c r="E36" s="3" t="s">
        <v>33</v>
      </c>
      <c r="F36" s="3"/>
      <c r="G36" s="3"/>
      <c r="H36" s="3" t="e">
        <f>VLOOKUP(G36,Produtos!A:B,2,FALSE)</f>
        <v>#N/A</v>
      </c>
      <c r="I36" s="3"/>
      <c r="J36" s="1" t="str">
        <f>YEAR(Table1[[#This Row],[Hora de início]])&amp;"/"&amp;IF(MONTH(Table1[[#This Row],[Hora de início]])&lt;10,"0"&amp;MONTH(Table1[[#This Row],[Hora de início]]),MONTH(Table1[[#This Row],[Hora de início]]))</f>
        <v>2025/04</v>
      </c>
    </row>
    <row r="37" spans="1:10" x14ac:dyDescent="0.25">
      <c r="A37">
        <v>36</v>
      </c>
      <c r="B37" s="1">
        <v>45785.347291666701</v>
      </c>
      <c r="C37" s="1">
        <v>45785.391087962998</v>
      </c>
      <c r="D37" s="3" t="s">
        <v>18</v>
      </c>
      <c r="E37" s="3" t="s">
        <v>24</v>
      </c>
      <c r="F37" s="3"/>
      <c r="G37" s="3"/>
      <c r="H37" s="3" t="e">
        <f>VLOOKUP(G37,Produtos!A:B,2,FALSE)</f>
        <v>#N/A</v>
      </c>
      <c r="I37" s="3"/>
      <c r="J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38" spans="1:10" x14ac:dyDescent="0.25">
      <c r="A38">
        <v>37</v>
      </c>
      <c r="B38" s="1">
        <v>45785.394467592603</v>
      </c>
      <c r="C38" s="1">
        <v>45785.395208333299</v>
      </c>
      <c r="D38" s="3" t="s">
        <v>18</v>
      </c>
      <c r="E38" s="3" t="s">
        <v>24</v>
      </c>
      <c r="F38" s="3"/>
      <c r="G38" s="3"/>
      <c r="H38" s="3" t="e">
        <f>VLOOKUP(G38,Produtos!A:B,2,FALSE)</f>
        <v>#N/A</v>
      </c>
      <c r="I38" s="3"/>
      <c r="J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39" spans="1:10" x14ac:dyDescent="0.25">
      <c r="A39">
        <v>38</v>
      </c>
      <c r="B39" s="1">
        <v>45785.395439814798</v>
      </c>
      <c r="C39" s="1">
        <v>45785.396134259303</v>
      </c>
      <c r="D39" s="3" t="s">
        <v>18</v>
      </c>
      <c r="E39" s="3" t="s">
        <v>24</v>
      </c>
      <c r="F39" s="3"/>
      <c r="G39" s="3"/>
      <c r="H39" s="3" t="e">
        <f>VLOOKUP(G39,Produtos!A:B,2,FALSE)</f>
        <v>#N/A</v>
      </c>
      <c r="I39" s="3"/>
      <c r="J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0" spans="1:10" x14ac:dyDescent="0.25">
      <c r="A40">
        <v>39</v>
      </c>
      <c r="B40" s="1">
        <v>45785.398599537002</v>
      </c>
      <c r="C40" s="1">
        <v>45785.399236111101</v>
      </c>
      <c r="D40" s="3" t="s">
        <v>18</v>
      </c>
      <c r="E40" s="3" t="s">
        <v>24</v>
      </c>
      <c r="F40" s="3"/>
      <c r="G40" s="3"/>
      <c r="H40" s="3" t="e">
        <f>VLOOKUP(G40,Produtos!A:B,2,FALSE)</f>
        <v>#N/A</v>
      </c>
      <c r="I40" s="3"/>
      <c r="J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1" spans="1:10" x14ac:dyDescent="0.25">
      <c r="A41">
        <v>40</v>
      </c>
      <c r="B41" s="1">
        <v>45785.401782407404</v>
      </c>
      <c r="C41" s="1">
        <v>45785.402361111097</v>
      </c>
      <c r="D41" s="3" t="s">
        <v>18</v>
      </c>
      <c r="E41" s="3" t="s">
        <v>24</v>
      </c>
      <c r="F41" s="3"/>
      <c r="G41" s="3"/>
      <c r="H41" s="3" t="e">
        <f>VLOOKUP(G41,Produtos!A:B,2,FALSE)</f>
        <v>#N/A</v>
      </c>
      <c r="I41" s="3"/>
      <c r="J4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2" spans="1:10" x14ac:dyDescent="0.25">
      <c r="A42">
        <v>41</v>
      </c>
      <c r="B42" s="1">
        <v>45785.402986111098</v>
      </c>
      <c r="C42" s="1">
        <v>45785.403518518498</v>
      </c>
      <c r="D42" s="3" t="s">
        <v>18</v>
      </c>
      <c r="E42" s="3" t="s">
        <v>24</v>
      </c>
      <c r="F42" s="3"/>
      <c r="G42" s="3"/>
      <c r="H42" s="3" t="e">
        <f>VLOOKUP(G42,Produtos!A:B,2,FALSE)</f>
        <v>#N/A</v>
      </c>
      <c r="I42" s="3"/>
      <c r="J4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3" spans="1:10" x14ac:dyDescent="0.25">
      <c r="A43">
        <v>42</v>
      </c>
      <c r="B43" s="1">
        <v>45785.4070601852</v>
      </c>
      <c r="C43" s="1">
        <v>45785.407766203702</v>
      </c>
      <c r="D43" s="3" t="s">
        <v>18</v>
      </c>
      <c r="E43" s="3" t="s">
        <v>24</v>
      </c>
      <c r="F43" s="3"/>
      <c r="G43" s="3"/>
      <c r="H43" s="3" t="e">
        <f>VLOOKUP(G43,Produtos!A:B,2,FALSE)</f>
        <v>#N/A</v>
      </c>
      <c r="I43" s="3"/>
      <c r="J4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4" spans="1:10" x14ac:dyDescent="0.25">
      <c r="A44">
        <v>43</v>
      </c>
      <c r="B44" s="1">
        <v>45785.407789351797</v>
      </c>
      <c r="C44" s="1">
        <v>45785.4083217593</v>
      </c>
      <c r="D44" s="3" t="s">
        <v>18</v>
      </c>
      <c r="E44" s="3" t="s">
        <v>24</v>
      </c>
      <c r="F44" s="3"/>
      <c r="G44" s="3"/>
      <c r="H44" s="3" t="e">
        <f>VLOOKUP(G44,Produtos!A:B,2,FALSE)</f>
        <v>#N/A</v>
      </c>
      <c r="I44" s="3"/>
      <c r="J4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5" spans="1:10" x14ac:dyDescent="0.25">
      <c r="A45">
        <v>44</v>
      </c>
      <c r="B45" s="1">
        <v>45785.409976851799</v>
      </c>
      <c r="C45" s="1">
        <v>45785.410520833299</v>
      </c>
      <c r="D45" s="3" t="s">
        <v>18</v>
      </c>
      <c r="E45" s="3" t="s">
        <v>24</v>
      </c>
      <c r="F45" s="3"/>
      <c r="G45" s="3"/>
      <c r="H45" s="3" t="e">
        <f>VLOOKUP(G45,Produtos!A:B,2,FALSE)</f>
        <v>#N/A</v>
      </c>
      <c r="I45" s="3"/>
      <c r="J4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6" spans="1:10" x14ac:dyDescent="0.25">
      <c r="A46">
        <v>45</v>
      </c>
      <c r="B46" s="1">
        <v>45785.411597222199</v>
      </c>
      <c r="C46" s="1">
        <v>45785.4121296296</v>
      </c>
      <c r="D46" s="3" t="s">
        <v>18</v>
      </c>
      <c r="E46" s="3" t="s">
        <v>24</v>
      </c>
      <c r="F46" s="3"/>
      <c r="G46" s="3"/>
      <c r="H46" s="3" t="e">
        <f>VLOOKUP(G46,Produtos!A:B,2,FALSE)</f>
        <v>#N/A</v>
      </c>
      <c r="I46" s="3"/>
      <c r="J4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7" spans="1:10" x14ac:dyDescent="0.25">
      <c r="A47">
        <v>46</v>
      </c>
      <c r="B47" s="1">
        <v>45785.412430555603</v>
      </c>
      <c r="C47" s="1">
        <v>45785.413009259297</v>
      </c>
      <c r="D47" s="3" t="s">
        <v>18</v>
      </c>
      <c r="E47" s="3" t="s">
        <v>24</v>
      </c>
      <c r="F47" s="3"/>
      <c r="G47" s="3"/>
      <c r="H47" s="3" t="e">
        <f>VLOOKUP(G47,Produtos!A:B,2,FALSE)</f>
        <v>#N/A</v>
      </c>
      <c r="I47" s="3"/>
      <c r="J4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8" spans="1:10" x14ac:dyDescent="0.25">
      <c r="A48">
        <v>47</v>
      </c>
      <c r="B48" s="1">
        <v>45785.418217592603</v>
      </c>
      <c r="C48" s="1">
        <v>45785.418877314798</v>
      </c>
      <c r="D48" s="3" t="s">
        <v>18</v>
      </c>
      <c r="E48" s="3" t="s">
        <v>21</v>
      </c>
      <c r="F48" s="3"/>
      <c r="G48" s="3"/>
      <c r="H48" s="3" t="e">
        <f>VLOOKUP(G48,Produtos!A:B,2,FALSE)</f>
        <v>#N/A</v>
      </c>
      <c r="I48" s="3"/>
      <c r="J4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49" spans="1:10" x14ac:dyDescent="0.25">
      <c r="A49">
        <v>48</v>
      </c>
      <c r="B49" s="1">
        <v>45785.420081018499</v>
      </c>
      <c r="C49" s="1">
        <v>45785.4207986111</v>
      </c>
      <c r="D49" s="3" t="s">
        <v>18</v>
      </c>
      <c r="E49" s="3" t="s">
        <v>34</v>
      </c>
      <c r="F49" s="3"/>
      <c r="G49" s="3"/>
      <c r="H49" s="3" t="e">
        <f>VLOOKUP(G49,Produtos!A:B,2,FALSE)</f>
        <v>#N/A</v>
      </c>
      <c r="I49" s="3"/>
      <c r="J4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0" spans="1:10" x14ac:dyDescent="0.25">
      <c r="A50">
        <v>49</v>
      </c>
      <c r="B50" s="1">
        <v>45785.421481481499</v>
      </c>
      <c r="C50" s="1">
        <v>45785.4222337963</v>
      </c>
      <c r="D50" s="3" t="s">
        <v>18</v>
      </c>
      <c r="E50" s="3" t="s">
        <v>21</v>
      </c>
      <c r="F50" s="3"/>
      <c r="G50" s="3"/>
      <c r="H50" s="3" t="e">
        <f>VLOOKUP(G50,Produtos!A:B,2,FALSE)</f>
        <v>#N/A</v>
      </c>
      <c r="I50" s="3"/>
      <c r="J5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1" spans="1:10" x14ac:dyDescent="0.25">
      <c r="A51">
        <v>50</v>
      </c>
      <c r="B51" s="1">
        <v>45785.422256944403</v>
      </c>
      <c r="C51" s="1">
        <v>45785.422893518502</v>
      </c>
      <c r="D51" s="3" t="s">
        <v>18</v>
      </c>
      <c r="E51" s="3" t="s">
        <v>21</v>
      </c>
      <c r="F51" s="3"/>
      <c r="G51" s="3"/>
      <c r="H51" s="3" t="e">
        <f>VLOOKUP(G51,Produtos!A:B,2,FALSE)</f>
        <v>#N/A</v>
      </c>
      <c r="I51" s="3"/>
      <c r="J5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2" spans="1:10" x14ac:dyDescent="0.25">
      <c r="A52">
        <v>51</v>
      </c>
      <c r="B52" s="1">
        <v>45785.425185185202</v>
      </c>
      <c r="C52" s="1">
        <v>45785.425706018497</v>
      </c>
      <c r="D52" s="3" t="s">
        <v>18</v>
      </c>
      <c r="E52" s="3" t="s">
        <v>21</v>
      </c>
      <c r="F52" s="3"/>
      <c r="G52" s="3"/>
      <c r="H52" s="3" t="e">
        <f>VLOOKUP(G52,Produtos!A:B,2,FALSE)</f>
        <v>#N/A</v>
      </c>
      <c r="I52" s="3"/>
      <c r="J5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3" spans="1:10" x14ac:dyDescent="0.25">
      <c r="A53">
        <v>52</v>
      </c>
      <c r="B53" s="1">
        <v>45785.6496990741</v>
      </c>
      <c r="C53" s="1">
        <v>45785.663136574098</v>
      </c>
      <c r="D53" s="3" t="s">
        <v>32</v>
      </c>
      <c r="E53" s="3" t="s">
        <v>15</v>
      </c>
      <c r="F53" s="3"/>
      <c r="G53" s="3"/>
      <c r="H53" s="3" t="e">
        <f>VLOOKUP(G53,Produtos!A:B,2,FALSE)</f>
        <v>#N/A</v>
      </c>
      <c r="I53" s="3"/>
      <c r="J5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4" spans="1:10" x14ac:dyDescent="0.25">
      <c r="A54">
        <v>53</v>
      </c>
      <c r="B54" s="1">
        <v>45786.341828703698</v>
      </c>
      <c r="C54" s="1">
        <v>45786.343692129602</v>
      </c>
      <c r="D54" s="3" t="s">
        <v>18</v>
      </c>
      <c r="E54" s="3" t="s">
        <v>24</v>
      </c>
      <c r="F54" s="3"/>
      <c r="G54" s="3"/>
      <c r="H54" s="3" t="e">
        <f>VLOOKUP(G54,Produtos!A:B,2,FALSE)</f>
        <v>#N/A</v>
      </c>
      <c r="I54" s="3"/>
      <c r="J5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5" spans="1:10" x14ac:dyDescent="0.25">
      <c r="A55">
        <v>54</v>
      </c>
      <c r="B55" s="1">
        <v>45786.343877314801</v>
      </c>
      <c r="C55" s="1">
        <v>45786.3444675926</v>
      </c>
      <c r="D55" s="3" t="s">
        <v>18</v>
      </c>
      <c r="E55" s="3" t="s">
        <v>24</v>
      </c>
      <c r="F55" s="3"/>
      <c r="G55" s="3"/>
      <c r="H55" s="3" t="e">
        <f>VLOOKUP(G55,Produtos!A:B,2,FALSE)</f>
        <v>#N/A</v>
      </c>
      <c r="I55" s="3"/>
      <c r="J5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6" spans="1:10" x14ac:dyDescent="0.25">
      <c r="A56">
        <v>55</v>
      </c>
      <c r="B56" s="1">
        <v>45786.346111111103</v>
      </c>
      <c r="C56" s="1">
        <v>45786.346666666701</v>
      </c>
      <c r="D56" s="3" t="s">
        <v>18</v>
      </c>
      <c r="E56" s="3" t="s">
        <v>26</v>
      </c>
      <c r="F56" s="3"/>
      <c r="G56" s="3"/>
      <c r="H56" s="3" t="e">
        <f>VLOOKUP(G56,Produtos!A:B,2,FALSE)</f>
        <v>#N/A</v>
      </c>
      <c r="I56" s="3"/>
      <c r="J5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7" spans="1:10" x14ac:dyDescent="0.25">
      <c r="A57">
        <v>56</v>
      </c>
      <c r="B57" s="1">
        <v>45786.349155092597</v>
      </c>
      <c r="C57" s="1">
        <v>45786.349768518499</v>
      </c>
      <c r="D57" s="3" t="s">
        <v>18</v>
      </c>
      <c r="E57" s="3" t="s">
        <v>24</v>
      </c>
      <c r="F57" s="3"/>
      <c r="G57" s="3"/>
      <c r="H57" s="3" t="e">
        <f>VLOOKUP(G57,Produtos!A:B,2,FALSE)</f>
        <v>#N/A</v>
      </c>
      <c r="I57" s="3"/>
      <c r="J5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8" spans="1:10" x14ac:dyDescent="0.25">
      <c r="A58">
        <v>57</v>
      </c>
      <c r="B58" s="1">
        <v>45787.472199074102</v>
      </c>
      <c r="C58" s="1">
        <v>45787.473796296297</v>
      </c>
      <c r="D58" s="3" t="s">
        <v>8</v>
      </c>
      <c r="E58" s="3" t="s">
        <v>33</v>
      </c>
      <c r="F58" s="3"/>
      <c r="G58" s="3"/>
      <c r="H58" s="3" t="e">
        <f>VLOOKUP(G58,Produtos!A:B,2,FALSE)</f>
        <v>#N/A</v>
      </c>
      <c r="I58" s="3"/>
      <c r="J5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59" spans="1:10" x14ac:dyDescent="0.25">
      <c r="A59">
        <v>58</v>
      </c>
      <c r="B59" s="1">
        <v>45789.399479166699</v>
      </c>
      <c r="C59" s="1">
        <v>45789.400266203702</v>
      </c>
      <c r="D59" s="3" t="s">
        <v>18</v>
      </c>
      <c r="E59" s="3" t="s">
        <v>24</v>
      </c>
      <c r="F59" s="3"/>
      <c r="G59" s="2">
        <v>9089</v>
      </c>
      <c r="H59" s="2" t="str">
        <f>VLOOKUP(G59,Produtos!A:B,2,FALSE)</f>
        <v>SUKITA LATA 350ML SH C/12 NPAL</v>
      </c>
      <c r="I59" s="7" t="s">
        <v>493</v>
      </c>
      <c r="J5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0" spans="1:10" x14ac:dyDescent="0.25">
      <c r="A60">
        <v>59</v>
      </c>
      <c r="B60" s="1">
        <v>45789.401157407403</v>
      </c>
      <c r="C60" s="1">
        <v>45789.401851851799</v>
      </c>
      <c r="D60" s="3" t="s">
        <v>18</v>
      </c>
      <c r="E60" s="3" t="s">
        <v>24</v>
      </c>
      <c r="F60" s="3"/>
      <c r="G60" s="2">
        <v>9087</v>
      </c>
      <c r="H60" s="2" t="str">
        <f>VLOOKUP(G60,Produtos!A:B,2,FALSE)</f>
        <v>SODA LIMONADA ANTAR LT350ML SH C/12 NPAL</v>
      </c>
      <c r="I60" s="3" t="s">
        <v>493</v>
      </c>
      <c r="J6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1" spans="1:10" x14ac:dyDescent="0.25">
      <c r="A61">
        <v>60</v>
      </c>
      <c r="B61" s="1">
        <v>45789.402407407397</v>
      </c>
      <c r="C61" s="1">
        <v>45789.402870370403</v>
      </c>
      <c r="D61" s="3" t="s">
        <v>18</v>
      </c>
      <c r="E61" s="3" t="s">
        <v>24</v>
      </c>
      <c r="F61" s="3"/>
      <c r="G61" s="2">
        <v>20651</v>
      </c>
      <c r="H61" s="2" t="str">
        <f>VLOOKUP(G61,Produtos!A:B,2,FALSE)</f>
        <v>CORONA N LT SLEEK 350ML CX 8</v>
      </c>
      <c r="I61" s="3" t="s">
        <v>493</v>
      </c>
      <c r="J6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2" spans="1:10" x14ac:dyDescent="0.25">
      <c r="A62">
        <v>61</v>
      </c>
      <c r="B62" s="1">
        <v>45789.404340277797</v>
      </c>
      <c r="C62" s="1">
        <v>45789.404999999999</v>
      </c>
      <c r="D62" s="3" t="s">
        <v>18</v>
      </c>
      <c r="E62" s="3" t="s">
        <v>24</v>
      </c>
      <c r="F62" s="3"/>
      <c r="G62" s="2">
        <v>17808</v>
      </c>
      <c r="H62" s="2" t="str">
        <f>VLOOKUP(G62,Produtos!A:B,2,FALSE)</f>
        <v>BUDWEISER OW 330ML CX C 24</v>
      </c>
      <c r="I62" s="3" t="s">
        <v>493</v>
      </c>
      <c r="J6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3" spans="1:10" x14ac:dyDescent="0.25">
      <c r="A63">
        <v>62</v>
      </c>
      <c r="B63" s="1">
        <v>45789.406284722201</v>
      </c>
      <c r="C63" s="1">
        <v>45789.406875000001</v>
      </c>
      <c r="D63" s="3" t="s">
        <v>18</v>
      </c>
      <c r="E63" s="3" t="s">
        <v>24</v>
      </c>
      <c r="F63" s="3"/>
      <c r="G63" s="2">
        <v>20498</v>
      </c>
      <c r="H63" s="2" t="str">
        <f>VLOOKUP(G63,Produtos!A:B,2,FALSE)</f>
        <v>BRAHMA DUPLO MALTE LT SLEEK 350ML SH C12</v>
      </c>
      <c r="I63" s="3" t="s">
        <v>493</v>
      </c>
      <c r="J6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4" spans="1:10" x14ac:dyDescent="0.25">
      <c r="A64">
        <v>63</v>
      </c>
      <c r="B64" s="1">
        <v>45789.647777777798</v>
      </c>
      <c r="C64" s="1">
        <v>45789.654606481497</v>
      </c>
      <c r="D64" s="3" t="s">
        <v>32</v>
      </c>
      <c r="E64" s="3" t="s">
        <v>15</v>
      </c>
      <c r="F64" s="3"/>
      <c r="G64" s="3"/>
      <c r="H64" s="3" t="e">
        <f>VLOOKUP(G64,Produtos!A:B,2,FALSE)</f>
        <v>#N/A</v>
      </c>
      <c r="I64" s="3" t="s">
        <v>493</v>
      </c>
      <c r="J6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5" spans="1:10" x14ac:dyDescent="0.25">
      <c r="A65">
        <v>64</v>
      </c>
      <c r="B65" s="1">
        <v>45790.390347222201</v>
      </c>
      <c r="C65" s="1">
        <v>45790.394618055601</v>
      </c>
      <c r="D65" s="3" t="s">
        <v>20</v>
      </c>
      <c r="E65" s="3" t="s">
        <v>24</v>
      </c>
      <c r="F65" s="3"/>
      <c r="G65" s="2">
        <v>2353</v>
      </c>
      <c r="H65" s="2" t="str">
        <f>VLOOKUP(G65,Produtos!A:B,2,FALSE)</f>
        <v>GUARANA CHP ANTARCTICA DIET PET 2L CXC/6</v>
      </c>
      <c r="I65" s="3" t="s">
        <v>500</v>
      </c>
      <c r="J6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6" spans="1:10" x14ac:dyDescent="0.25">
      <c r="A66">
        <v>65</v>
      </c>
      <c r="B66" s="1">
        <v>45790.398275462998</v>
      </c>
      <c r="C66" s="1">
        <v>45790.400069444397</v>
      </c>
      <c r="D66" s="3" t="s">
        <v>20</v>
      </c>
      <c r="E66" s="3" t="s">
        <v>24</v>
      </c>
      <c r="F66" s="3"/>
      <c r="G66" s="3"/>
      <c r="H66" s="3" t="e">
        <f>VLOOKUP(G66,Produtos!A:B,2,FALSE)</f>
        <v>#N/A</v>
      </c>
      <c r="I66" s="3" t="s">
        <v>500</v>
      </c>
      <c r="J6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7" spans="1:10" x14ac:dyDescent="0.25">
      <c r="A67">
        <v>66</v>
      </c>
      <c r="B67" s="1">
        <v>45790.401979166701</v>
      </c>
      <c r="C67" s="1">
        <v>45790.403993055603</v>
      </c>
      <c r="D67" s="3" t="s">
        <v>20</v>
      </c>
      <c r="E67" s="3" t="s">
        <v>24</v>
      </c>
      <c r="F67" s="3"/>
      <c r="G67" s="2">
        <v>28137</v>
      </c>
      <c r="H67" s="2" t="str">
        <f>VLOOKUP(G67,Produtos!A:B,2,FALSE)</f>
        <v>SKOL BT CAIPIRINHA LT 269ML CX CA C/8 NP</v>
      </c>
      <c r="I67" s="3" t="s">
        <v>491</v>
      </c>
      <c r="J6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8" spans="1:10" x14ac:dyDescent="0.25">
      <c r="A68">
        <v>67</v>
      </c>
      <c r="B68" s="1">
        <v>45790.404155092598</v>
      </c>
      <c r="C68" s="1">
        <v>45790.405370370398</v>
      </c>
      <c r="D68" s="3" t="s">
        <v>20</v>
      </c>
      <c r="E68" s="3" t="s">
        <v>24</v>
      </c>
      <c r="F68" s="3"/>
      <c r="G68" s="2">
        <v>33734</v>
      </c>
      <c r="H68" s="2" t="str">
        <f>VLOOKUP(G68,Produtos!A:B,2,FALSE)</f>
        <v>BEATS RED MIX LT 269ML SH C/8</v>
      </c>
      <c r="I68" s="3" t="s">
        <v>491</v>
      </c>
      <c r="J6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69" spans="1:10" x14ac:dyDescent="0.25">
      <c r="A69">
        <v>68</v>
      </c>
      <c r="B69" s="1">
        <v>45790.406620370399</v>
      </c>
      <c r="C69" s="1">
        <v>45790.408414351798</v>
      </c>
      <c r="D69" s="3" t="s">
        <v>20</v>
      </c>
      <c r="E69" s="3" t="s">
        <v>24</v>
      </c>
      <c r="F69" s="3"/>
      <c r="G69" s="2">
        <v>22180</v>
      </c>
      <c r="H69" s="2" t="str">
        <f>VLOOKUP(G69,Produtos!A:B,2,FALSE)</f>
        <v>BUDWEISER ZERO LN 330ML SIX-PACK SH C/4</v>
      </c>
      <c r="I69" s="3" t="s">
        <v>500</v>
      </c>
      <c r="J6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0" spans="1:10" x14ac:dyDescent="0.25">
      <c r="A70">
        <v>69</v>
      </c>
      <c r="B70" s="1">
        <v>45791.605937499997</v>
      </c>
      <c r="C70" s="1">
        <v>45791.607314814799</v>
      </c>
      <c r="D70" s="3" t="s">
        <v>18</v>
      </c>
      <c r="E70" s="3" t="s">
        <v>24</v>
      </c>
      <c r="F70" s="3"/>
      <c r="G70" s="2">
        <v>9274</v>
      </c>
      <c r="H70" s="2" t="str">
        <f>VLOOKUP(G70,Produtos!A:B,2,FALSE)</f>
        <v>PEPSI ZERO LATA 350ML SH C/12 NPAL</v>
      </c>
      <c r="I70" s="3" t="s">
        <v>493</v>
      </c>
      <c r="J7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1" spans="1:10" x14ac:dyDescent="0.25">
      <c r="A71">
        <v>70</v>
      </c>
      <c r="B71" s="1">
        <v>45791.613715277803</v>
      </c>
      <c r="C71" s="1">
        <v>45791.614861111098</v>
      </c>
      <c r="D71" s="3" t="s">
        <v>18</v>
      </c>
      <c r="E71" s="3" t="s">
        <v>24</v>
      </c>
      <c r="F71" s="3"/>
      <c r="G71" s="2">
        <v>14135</v>
      </c>
      <c r="H71" s="2" t="str">
        <f>VLOOKUP(G71,Produtos!A:B,2,FALSE)</f>
        <v>BUDWEISER LT 473ML SIX-PACK SH C/2 NPAL</v>
      </c>
      <c r="I71" s="3" t="s">
        <v>493</v>
      </c>
      <c r="J7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2" spans="1:10" x14ac:dyDescent="0.25">
      <c r="A72">
        <v>71</v>
      </c>
      <c r="B72" s="1">
        <v>45794.252708333297</v>
      </c>
      <c r="C72" s="1">
        <v>45794.253402777802</v>
      </c>
      <c r="D72" s="3" t="s">
        <v>18</v>
      </c>
      <c r="E72" s="3" t="s">
        <v>26</v>
      </c>
      <c r="F72" s="3"/>
      <c r="G72" s="2">
        <v>9084</v>
      </c>
      <c r="H72" s="2" t="str">
        <f>VLOOKUP(G72,Produtos!A:B,2,FALSE)</f>
        <v>GUARANA CHP ANTARCT LT350ML SH C/12 NPAL</v>
      </c>
      <c r="I72" s="3" t="s">
        <v>493</v>
      </c>
      <c r="J7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3" spans="1:10" x14ac:dyDescent="0.25">
      <c r="A73">
        <v>72</v>
      </c>
      <c r="B73" s="1">
        <v>45794.254409722198</v>
      </c>
      <c r="C73" s="1">
        <v>45794.255011574103</v>
      </c>
      <c r="D73" s="3" t="s">
        <v>18</v>
      </c>
      <c r="E73" s="3" t="s">
        <v>24</v>
      </c>
      <c r="F73" s="3"/>
      <c r="G73" s="2">
        <v>14135</v>
      </c>
      <c r="H73" s="2" t="str">
        <f>VLOOKUP(G73,Produtos!A:B,2,FALSE)</f>
        <v>BUDWEISER LT 473ML SIX-PACK SH C/2 NPAL</v>
      </c>
      <c r="I73" s="3" t="s">
        <v>493</v>
      </c>
      <c r="J7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4" spans="1:10" x14ac:dyDescent="0.25">
      <c r="A74">
        <v>73</v>
      </c>
      <c r="B74" s="1">
        <v>45794.258159722202</v>
      </c>
      <c r="C74" s="1">
        <v>45794.258726851796</v>
      </c>
      <c r="D74" s="3" t="s">
        <v>18</v>
      </c>
      <c r="E74" s="3" t="s">
        <v>24</v>
      </c>
      <c r="F74" s="3"/>
      <c r="G74" s="2">
        <v>20498</v>
      </c>
      <c r="H74" s="2" t="str">
        <f>VLOOKUP(G74,Produtos!A:B,2,FALSE)</f>
        <v>BRAHMA DUPLO MALTE LT SLEEK 350ML SH C12</v>
      </c>
      <c r="I74" s="3" t="s">
        <v>493</v>
      </c>
      <c r="J7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5" spans="1:10" x14ac:dyDescent="0.25">
      <c r="A75">
        <v>74</v>
      </c>
      <c r="B75" s="1">
        <v>45794.259409722203</v>
      </c>
      <c r="C75" s="1">
        <v>45794.259907407402</v>
      </c>
      <c r="D75" s="3" t="s">
        <v>18</v>
      </c>
      <c r="E75" s="3" t="s">
        <v>24</v>
      </c>
      <c r="F75" s="3"/>
      <c r="G75" s="2">
        <v>17808</v>
      </c>
      <c r="H75" s="2" t="str">
        <f>VLOOKUP(G75,Produtos!A:B,2,FALSE)</f>
        <v>BUDWEISER OW 330ML CX C 24</v>
      </c>
      <c r="I75" s="3" t="s">
        <v>493</v>
      </c>
      <c r="J7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6" spans="1:10" x14ac:dyDescent="0.25">
      <c r="A76">
        <v>75</v>
      </c>
      <c r="B76" s="1">
        <v>45794.447118055599</v>
      </c>
      <c r="C76" s="1">
        <v>45794.448078703703</v>
      </c>
      <c r="D76" s="3" t="s">
        <v>8</v>
      </c>
      <c r="E76" s="3" t="s">
        <v>33</v>
      </c>
      <c r="F76" s="3"/>
      <c r="G76" s="3"/>
      <c r="H76" s="3" t="e">
        <f>VLOOKUP(G76,Produtos!A:B,2,FALSE)</f>
        <v>#N/A</v>
      </c>
      <c r="I76" s="3"/>
      <c r="J7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7" spans="1:10" x14ac:dyDescent="0.25">
      <c r="A77">
        <v>76</v>
      </c>
      <c r="B77" s="1">
        <v>45794.609201388899</v>
      </c>
      <c r="C77" s="1">
        <v>45794.612766203703</v>
      </c>
      <c r="D77" s="3" t="s">
        <v>32</v>
      </c>
      <c r="E77" s="3" t="s">
        <v>19</v>
      </c>
      <c r="F77" s="3"/>
      <c r="G77" s="3"/>
      <c r="H77" s="3" t="e">
        <f>VLOOKUP(G77,Produtos!A:B,2,FALSE)</f>
        <v>#N/A</v>
      </c>
      <c r="I77" s="3" t="s">
        <v>495</v>
      </c>
      <c r="J7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8" spans="1:10" x14ac:dyDescent="0.25">
      <c r="A78">
        <v>77</v>
      </c>
      <c r="B78" s="1">
        <v>45797.381006944401</v>
      </c>
      <c r="C78" s="1">
        <v>45797.381770833301</v>
      </c>
      <c r="D78" s="3" t="s">
        <v>18</v>
      </c>
      <c r="E78" s="3" t="s">
        <v>24</v>
      </c>
      <c r="F78" s="3"/>
      <c r="G78" s="2">
        <v>7982</v>
      </c>
      <c r="H78" s="2" t="str">
        <f>VLOOKUP(G78,Produtos!A:B,2,FALSE)</f>
        <v>GATORADE LIMAO PET 500ML SIX PACK</v>
      </c>
      <c r="I78" s="3" t="s">
        <v>494</v>
      </c>
      <c r="J7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79" spans="1:10" x14ac:dyDescent="0.25">
      <c r="A79">
        <v>78</v>
      </c>
      <c r="B79" s="1">
        <v>45797.385787036997</v>
      </c>
      <c r="C79" s="1">
        <v>45797.386458333298</v>
      </c>
      <c r="D79" s="3" t="s">
        <v>18</v>
      </c>
      <c r="E79" s="3" t="s">
        <v>24</v>
      </c>
      <c r="F79" s="3"/>
      <c r="G79" s="2">
        <v>17808</v>
      </c>
      <c r="H79" s="2" t="str">
        <f>VLOOKUP(G79,Produtos!A:B,2,FALSE)</f>
        <v>BUDWEISER OW 330ML CX C 24</v>
      </c>
      <c r="I79" s="3" t="s">
        <v>493</v>
      </c>
      <c r="J7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0" spans="1:10" x14ac:dyDescent="0.25">
      <c r="A80">
        <v>79</v>
      </c>
      <c r="B80" s="1">
        <v>45798.4075115741</v>
      </c>
      <c r="C80" s="1">
        <v>45798.408437500002</v>
      </c>
      <c r="D80" s="3" t="s">
        <v>18</v>
      </c>
      <c r="E80" s="3" t="s">
        <v>24</v>
      </c>
      <c r="F80" s="3"/>
      <c r="G80" s="2">
        <v>32500</v>
      </c>
      <c r="H80" s="2" t="str">
        <f>VLOOKUP(G80,Produtos!A:B,2,FALSE)</f>
        <v>STELLA ART PUR GOLD LT SL 350ML C8 CX CT</v>
      </c>
      <c r="I80" s="3" t="s">
        <v>493</v>
      </c>
      <c r="J8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1" spans="1:10" x14ac:dyDescent="0.25">
      <c r="A81">
        <v>80</v>
      </c>
      <c r="B81" s="1">
        <v>45798.410648148099</v>
      </c>
      <c r="C81" s="1">
        <v>45798.411354166703</v>
      </c>
      <c r="D81" s="3" t="s">
        <v>18</v>
      </c>
      <c r="E81" s="3" t="s">
        <v>24</v>
      </c>
      <c r="F81" s="3"/>
      <c r="G81" s="2">
        <v>9089</v>
      </c>
      <c r="H81" s="2" t="str">
        <f>VLOOKUP(G81,Produtos!A:B,2,FALSE)</f>
        <v>SUKITA LATA 350ML SH C/12 NPAL</v>
      </c>
      <c r="I81" s="3" t="s">
        <v>493</v>
      </c>
      <c r="J8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2" spans="1:10" x14ac:dyDescent="0.25">
      <c r="A82">
        <v>81</v>
      </c>
      <c r="B82" s="1">
        <v>45798.413171296299</v>
      </c>
      <c r="C82" s="1">
        <v>45798.413761574098</v>
      </c>
      <c r="D82" s="3" t="s">
        <v>18</v>
      </c>
      <c r="E82" s="3" t="s">
        <v>24</v>
      </c>
      <c r="F82" s="3"/>
      <c r="G82" s="2">
        <v>2354</v>
      </c>
      <c r="H82" s="2" t="str">
        <f>VLOOKUP(G82,Produtos!A:B,2,FALSE)</f>
        <v>SODA LIMONADA ANTARCT DIET PET 2L CX C/6</v>
      </c>
      <c r="I82" s="3" t="s">
        <v>493</v>
      </c>
      <c r="J8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3" spans="1:10" x14ac:dyDescent="0.25">
      <c r="A83">
        <v>82</v>
      </c>
      <c r="B83" s="1">
        <v>45798.417245370401</v>
      </c>
      <c r="C83" s="1">
        <v>45798.418923611098</v>
      </c>
      <c r="D83" s="3" t="s">
        <v>20</v>
      </c>
      <c r="E83" s="3" t="s">
        <v>21</v>
      </c>
      <c r="F83" s="3"/>
      <c r="G83" s="2">
        <v>9067</v>
      </c>
      <c r="H83" s="2" t="str">
        <f>VLOOKUP(G83,Produtos!A:B,2,FALSE)</f>
        <v>ANTARCTICA PILSEN LATA 350ML SH C/12 NPA</v>
      </c>
      <c r="I83" s="3" t="s">
        <v>491</v>
      </c>
      <c r="J8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4" spans="1:10" x14ac:dyDescent="0.25">
      <c r="A84">
        <v>83</v>
      </c>
      <c r="B84" s="1">
        <v>45798.422002314801</v>
      </c>
      <c r="C84" s="1">
        <v>45798.423055555599</v>
      </c>
      <c r="D84" s="3" t="s">
        <v>20</v>
      </c>
      <c r="E84" s="3" t="s">
        <v>24</v>
      </c>
      <c r="F84" s="3"/>
      <c r="G84" s="2">
        <v>9069</v>
      </c>
      <c r="H84" s="2" t="str">
        <f>VLOOKUP(G84,Produtos!A:B,2,FALSE)</f>
        <v>BRAHMA CHOPP LATA 350ML SH C/12 NPAL</v>
      </c>
      <c r="I84" s="3" t="s">
        <v>491</v>
      </c>
      <c r="J8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5" spans="1:10" x14ac:dyDescent="0.25">
      <c r="A85">
        <v>84</v>
      </c>
      <c r="B85" s="1">
        <v>45798.721990740698</v>
      </c>
      <c r="C85" s="1">
        <v>45798.733749999999</v>
      </c>
      <c r="D85" s="3" t="s">
        <v>32</v>
      </c>
      <c r="E85" s="3" t="s">
        <v>15</v>
      </c>
      <c r="F85" s="3"/>
      <c r="G85" s="2">
        <v>371</v>
      </c>
      <c r="H85" s="2" t="str">
        <f>VLOOKUP(G85,Produtos!A:B,2,FALSE)</f>
        <v>MALZBIER BRAHMA LN355ML SIX PAC BAND C/4</v>
      </c>
      <c r="I85" s="3" t="s">
        <v>492</v>
      </c>
      <c r="J8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6" spans="1:10" x14ac:dyDescent="0.25">
      <c r="A86">
        <v>85</v>
      </c>
      <c r="B86" s="1">
        <v>45800.345115740703</v>
      </c>
      <c r="C86" s="1">
        <v>45800.346597222197</v>
      </c>
      <c r="D86" s="3" t="s">
        <v>20</v>
      </c>
      <c r="E86" s="3" t="s">
        <v>24</v>
      </c>
      <c r="F86" s="3"/>
      <c r="G86" s="2">
        <v>22200</v>
      </c>
      <c r="H86" s="2" t="str">
        <f>VLOOKUP(G86,Produtos!A:B,2,FALSE)</f>
        <v>TONICA ANTARCTICA PET1LSH C/06</v>
      </c>
      <c r="I86" s="3" t="s">
        <v>491</v>
      </c>
      <c r="J8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7" spans="1:10" x14ac:dyDescent="0.25">
      <c r="A87">
        <v>86</v>
      </c>
      <c r="B87" s="1">
        <v>45800.347604166702</v>
      </c>
      <c r="C87" s="1">
        <v>45800.348159722198</v>
      </c>
      <c r="D87" s="3" t="s">
        <v>18</v>
      </c>
      <c r="E87" s="3" t="s">
        <v>26</v>
      </c>
      <c r="F87" s="3"/>
      <c r="G87" s="2">
        <v>9081</v>
      </c>
      <c r="H87" s="2" t="str">
        <f>VLOOKUP(G87,Produtos!A:B,2,FALSE)</f>
        <v>MALZBIER BRAHMA LATA 350ML SH C/12 NPAL</v>
      </c>
      <c r="I87" s="3" t="s">
        <v>493</v>
      </c>
      <c r="J8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8" spans="1:10" x14ac:dyDescent="0.25">
      <c r="A88">
        <v>87</v>
      </c>
      <c r="B88" s="1">
        <v>45800.347256944398</v>
      </c>
      <c r="C88" s="1">
        <v>45800.348159722198</v>
      </c>
      <c r="D88" s="3" t="s">
        <v>20</v>
      </c>
      <c r="E88" s="3" t="s">
        <v>24</v>
      </c>
      <c r="F88" s="3"/>
      <c r="G88" s="2">
        <v>18137</v>
      </c>
      <c r="H88" s="2" t="str">
        <f>VLOOKUP(G88,Produtos!A:B,2,FALSE)</f>
        <v>GUARANA CHP ANTARCTICA PET 3L C4 SH LISO</v>
      </c>
      <c r="I88" s="3" t="s">
        <v>492</v>
      </c>
      <c r="J8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89" spans="1:10" x14ac:dyDescent="0.25">
      <c r="A89">
        <v>88</v>
      </c>
      <c r="B89" s="1">
        <v>45800.349363425899</v>
      </c>
      <c r="C89" s="1">
        <v>45800.349907407399</v>
      </c>
      <c r="D89" s="3" t="s">
        <v>18</v>
      </c>
      <c r="E89" s="3" t="s">
        <v>24</v>
      </c>
      <c r="F89" s="3"/>
      <c r="G89" s="2">
        <v>17725</v>
      </c>
      <c r="H89" s="2" t="str">
        <f>VLOOKUP(G89,Produtos!A:B,2,FALSE)</f>
        <v>ANTARCTICA PILSEN LT 350ML SH C/18 MULTP</v>
      </c>
      <c r="I89" s="3" t="s">
        <v>493</v>
      </c>
      <c r="J8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0" spans="1:10" x14ac:dyDescent="0.25">
      <c r="A90">
        <v>89</v>
      </c>
      <c r="B90" s="1">
        <v>45800.351388888899</v>
      </c>
      <c r="C90" s="1">
        <v>45800.352048611101</v>
      </c>
      <c r="D90" s="3" t="s">
        <v>18</v>
      </c>
      <c r="E90" s="3" t="s">
        <v>21</v>
      </c>
      <c r="F90" s="3"/>
      <c r="G90" s="2">
        <v>9091</v>
      </c>
      <c r="H90" s="2" t="str">
        <f>VLOOKUP(G90,Produtos!A:B,2,FALSE)</f>
        <v>TONICA ANTARCTICA LT 350ML SH C/12 NPAL</v>
      </c>
      <c r="I90" s="3" t="s">
        <v>493</v>
      </c>
      <c r="J9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1" spans="1:10" x14ac:dyDescent="0.25">
      <c r="A91">
        <v>90</v>
      </c>
      <c r="B91" s="1">
        <v>45800.353379629603</v>
      </c>
      <c r="C91" s="1">
        <v>45800.354699074102</v>
      </c>
      <c r="D91" s="3" t="s">
        <v>20</v>
      </c>
      <c r="E91" s="3" t="s">
        <v>24</v>
      </c>
      <c r="F91" s="3"/>
      <c r="G91" s="2">
        <v>9069</v>
      </c>
      <c r="H91" s="2" t="str">
        <f>VLOOKUP(G91,Produtos!A:B,2,FALSE)</f>
        <v>BRAHMA CHOPP LATA 350ML SH C/12 NPAL</v>
      </c>
      <c r="I91" s="3" t="s">
        <v>491</v>
      </c>
      <c r="J9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2" spans="1:10" x14ac:dyDescent="0.25">
      <c r="A92">
        <v>91</v>
      </c>
      <c r="B92" s="1">
        <v>45800.355462963002</v>
      </c>
      <c r="C92" s="1">
        <v>45800.356111111098</v>
      </c>
      <c r="D92" s="3" t="s">
        <v>18</v>
      </c>
      <c r="E92" s="3" t="s">
        <v>21</v>
      </c>
      <c r="F92" s="3"/>
      <c r="G92" s="2">
        <v>19225</v>
      </c>
      <c r="H92" s="2" t="str">
        <f>VLOOKUP(G92,Produtos!A:B,2,FALSE)</f>
        <v>RED BULL BR LATA 250ML CAIXA C/24</v>
      </c>
      <c r="I92" s="3" t="s">
        <v>493</v>
      </c>
      <c r="J9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3" spans="1:10" x14ac:dyDescent="0.25">
      <c r="A93">
        <v>92</v>
      </c>
      <c r="B93" s="1">
        <v>45800.356203703697</v>
      </c>
      <c r="C93" s="1">
        <v>45800.356828703698</v>
      </c>
      <c r="D93" s="3" t="s">
        <v>18</v>
      </c>
      <c r="E93" s="3" t="s">
        <v>21</v>
      </c>
      <c r="F93" s="3"/>
      <c r="G93" s="2">
        <v>19225</v>
      </c>
      <c r="H93" s="2" t="str">
        <f>VLOOKUP(G93,Produtos!A:B,2,FALSE)</f>
        <v>RED BULL BR LATA 250ML CAIXA C/24</v>
      </c>
      <c r="I93" s="3" t="s">
        <v>493</v>
      </c>
      <c r="J9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4" spans="1:10" x14ac:dyDescent="0.25">
      <c r="A94">
        <v>93</v>
      </c>
      <c r="B94" s="1">
        <v>45800.358842592599</v>
      </c>
      <c r="C94" s="1">
        <v>45800.359849537002</v>
      </c>
      <c r="D94" s="3" t="s">
        <v>20</v>
      </c>
      <c r="E94" s="3" t="s">
        <v>21</v>
      </c>
      <c r="F94" s="3"/>
      <c r="G94" s="2">
        <v>9084</v>
      </c>
      <c r="H94" s="2" t="str">
        <f>VLOOKUP(G94,Produtos!A:B,2,FALSE)</f>
        <v>GUARANA CHP ANTARCT LT350ML SH C/12 NPAL</v>
      </c>
      <c r="I94" s="3" t="s">
        <v>491</v>
      </c>
      <c r="J9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5" spans="1:10" x14ac:dyDescent="0.25">
      <c r="A95">
        <v>94</v>
      </c>
      <c r="B95" s="1">
        <v>45800.359560185199</v>
      </c>
      <c r="C95" s="1">
        <v>45800.360219907401</v>
      </c>
      <c r="D95" s="3" t="s">
        <v>18</v>
      </c>
      <c r="E95" s="3" t="s">
        <v>34</v>
      </c>
      <c r="F95" s="3"/>
      <c r="G95" s="2">
        <v>34420</v>
      </c>
      <c r="H95" s="2" t="str">
        <f>VLOOKUP(G95,Produtos!A:B,2,FALSE)</f>
        <v>RED BULL SUM MARAC E MELAO LT 250ML FP</v>
      </c>
      <c r="I95" s="3" t="s">
        <v>493</v>
      </c>
      <c r="J9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6" spans="1:10" x14ac:dyDescent="0.25">
      <c r="A96">
        <v>95</v>
      </c>
      <c r="B96" s="1">
        <v>45800.363831018498</v>
      </c>
      <c r="C96" s="1">
        <v>45800.366886574098</v>
      </c>
      <c r="D96" s="3" t="s">
        <v>20</v>
      </c>
      <c r="E96" s="3" t="s">
        <v>34</v>
      </c>
      <c r="F96" s="3"/>
      <c r="G96" s="2">
        <v>19310</v>
      </c>
      <c r="H96" s="2" t="str">
        <f>VLOOKUP(G96,Produtos!A:B,2,FALSE)</f>
        <v>ORIGINAL LATA 350ML CX CARTAO C/12 NPAL</v>
      </c>
      <c r="I96" s="3" t="s">
        <v>491</v>
      </c>
      <c r="J9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7" spans="1:10" x14ac:dyDescent="0.25">
      <c r="A97">
        <v>96</v>
      </c>
      <c r="B97" s="1">
        <v>45800.366944444402</v>
      </c>
      <c r="C97" s="1">
        <v>45800.3677314815</v>
      </c>
      <c r="D97" s="3" t="s">
        <v>20</v>
      </c>
      <c r="E97" s="3" t="s">
        <v>34</v>
      </c>
      <c r="F97" s="3"/>
      <c r="G97" s="2">
        <v>19310</v>
      </c>
      <c r="H97" s="2" t="str">
        <f>VLOOKUP(G97,Produtos!A:B,2,FALSE)</f>
        <v>ORIGINAL LATA 350ML CX CARTAO C/12 NPAL</v>
      </c>
      <c r="I97" s="3" t="s">
        <v>500</v>
      </c>
      <c r="J9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8" spans="1:10" x14ac:dyDescent="0.25">
      <c r="A98">
        <v>97</v>
      </c>
      <c r="B98" s="1">
        <v>45800.650856481501</v>
      </c>
      <c r="C98" s="1">
        <v>45800.656180555598</v>
      </c>
      <c r="D98" s="3" t="s">
        <v>32</v>
      </c>
      <c r="E98" s="3" t="s">
        <v>19</v>
      </c>
      <c r="F98" s="3"/>
      <c r="G98" s="3"/>
      <c r="H98" s="3" t="e">
        <f>VLOOKUP(G98,Produtos!A:B,2,FALSE)</f>
        <v>#N/A</v>
      </c>
      <c r="I98" s="3"/>
      <c r="J9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99" spans="1:10" x14ac:dyDescent="0.25">
      <c r="A99">
        <v>98</v>
      </c>
      <c r="B99" s="1">
        <v>45801.3890972222</v>
      </c>
      <c r="C99" s="1">
        <v>45801.389675925901</v>
      </c>
      <c r="D99" s="3" t="s">
        <v>18</v>
      </c>
      <c r="E99" s="3" t="s">
        <v>24</v>
      </c>
      <c r="F99" s="3"/>
      <c r="G99" s="2">
        <v>9069</v>
      </c>
      <c r="H99" s="2" t="str">
        <f>VLOOKUP(G99,Produtos!A:B,2,FALSE)</f>
        <v>BRAHMA CHOPP LATA 350ML SH C/12 NPAL</v>
      </c>
      <c r="I99" s="3" t="s">
        <v>493</v>
      </c>
      <c r="J9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0" spans="1:10" x14ac:dyDescent="0.25">
      <c r="A100">
        <v>99</v>
      </c>
      <c r="B100" s="1">
        <v>45801.392905092602</v>
      </c>
      <c r="C100" s="1">
        <v>45801.393657407403</v>
      </c>
      <c r="D100" s="3" t="s">
        <v>18</v>
      </c>
      <c r="E100" s="3" t="s">
        <v>24</v>
      </c>
      <c r="F100" s="3"/>
      <c r="G100" s="2">
        <v>17797</v>
      </c>
      <c r="H100" s="2" t="str">
        <f>VLOOKUP(G100,Produtos!A:B,2,FALSE)</f>
        <v>BRAHMA CHOPP LATA 350ML SH 18 MULTIPACK</v>
      </c>
      <c r="I100" s="3" t="s">
        <v>493</v>
      </c>
      <c r="J10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1" spans="1:10" x14ac:dyDescent="0.25">
      <c r="A101">
        <v>100</v>
      </c>
      <c r="B101" s="1">
        <v>45801.461875000001</v>
      </c>
      <c r="C101" s="1">
        <v>45801.463912036997</v>
      </c>
      <c r="D101" s="3" t="s">
        <v>8</v>
      </c>
      <c r="E101" s="3" t="s">
        <v>19</v>
      </c>
      <c r="F101" s="3"/>
      <c r="G101" s="3" t="s">
        <v>35</v>
      </c>
      <c r="H101" s="3" t="e">
        <f>VLOOKUP(G101,Produtos!A:B,2,FALSE)</f>
        <v>#N/A</v>
      </c>
      <c r="I101" s="3" t="s">
        <v>501</v>
      </c>
      <c r="J10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2" spans="1:10" x14ac:dyDescent="0.25">
      <c r="A102">
        <v>101</v>
      </c>
      <c r="B102" s="1">
        <v>45803.126064814802</v>
      </c>
      <c r="C102" s="1">
        <v>45803.1312384259</v>
      </c>
      <c r="D102" s="3" t="s">
        <v>28</v>
      </c>
      <c r="E102" s="3" t="s">
        <v>34</v>
      </c>
      <c r="F102" s="3"/>
      <c r="G102" s="2">
        <v>17725</v>
      </c>
      <c r="H102" s="2" t="str">
        <f>VLOOKUP(G102,Produtos!A:B,2,FALSE)</f>
        <v>ANTARCTICA PILSEN LT 350ML SH C/18 MULTP</v>
      </c>
      <c r="I102" s="3" t="s">
        <v>493</v>
      </c>
      <c r="J10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3" spans="1:10" x14ac:dyDescent="0.25">
      <c r="A103">
        <v>102</v>
      </c>
      <c r="B103" s="1">
        <v>45803.387152777803</v>
      </c>
      <c r="C103" s="1">
        <v>45803.389270833301</v>
      </c>
      <c r="D103" s="3" t="s">
        <v>18</v>
      </c>
      <c r="E103" s="3" t="s">
        <v>24</v>
      </c>
      <c r="F103" s="3"/>
      <c r="G103" s="2">
        <v>9085</v>
      </c>
      <c r="H103" s="2" t="str">
        <f>VLOOKUP(G103,Produtos!A:B,2,FALSE)</f>
        <v>GUARANA CHP ANTARCT DIET LT350ML SHC/12</v>
      </c>
      <c r="I103" s="3" t="s">
        <v>493</v>
      </c>
      <c r="J10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4" spans="1:10" x14ac:dyDescent="0.25">
      <c r="A104">
        <v>103</v>
      </c>
      <c r="B104" s="1">
        <v>45803.392673611103</v>
      </c>
      <c r="C104" s="1">
        <v>45803.393206018503</v>
      </c>
      <c r="D104" s="3" t="s">
        <v>18</v>
      </c>
      <c r="E104" s="3" t="s">
        <v>21</v>
      </c>
      <c r="F104" s="3"/>
      <c r="G104" s="2">
        <v>9084</v>
      </c>
      <c r="H104" s="2" t="str">
        <f>VLOOKUP(G104,Produtos!A:B,2,FALSE)</f>
        <v>GUARANA CHP ANTARCT LT350ML SH C/12 NPAL</v>
      </c>
      <c r="I104" s="3" t="s">
        <v>493</v>
      </c>
      <c r="J10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5" spans="1:10" x14ac:dyDescent="0.25">
      <c r="A105">
        <v>104</v>
      </c>
      <c r="B105" s="1">
        <v>45803.393460648098</v>
      </c>
      <c r="C105" s="1">
        <v>45803.393969907404</v>
      </c>
      <c r="D105" s="3" t="s">
        <v>18</v>
      </c>
      <c r="E105" s="3" t="s">
        <v>21</v>
      </c>
      <c r="F105" s="3"/>
      <c r="G105" s="2">
        <v>9067</v>
      </c>
      <c r="H105" s="2" t="str">
        <f>VLOOKUP(G105,Produtos!A:B,2,FALSE)</f>
        <v>ANTARCTICA PILSEN LATA 350ML SH C/12 NPA</v>
      </c>
      <c r="I105" s="3" t="s">
        <v>493</v>
      </c>
      <c r="J10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6" spans="1:10" x14ac:dyDescent="0.25">
      <c r="A106">
        <v>105</v>
      </c>
      <c r="B106" s="1">
        <v>45803.399027777799</v>
      </c>
      <c r="C106" s="1">
        <v>45803.400138888901</v>
      </c>
      <c r="D106" s="3" t="s">
        <v>20</v>
      </c>
      <c r="E106" s="3" t="s">
        <v>24</v>
      </c>
      <c r="F106" s="3"/>
      <c r="G106" s="2">
        <v>32361</v>
      </c>
      <c r="H106" s="2" t="str">
        <f>VLOOKUP(G106,Produtos!A:B,2,FALSE)</f>
        <v>BEATS TROPICAL LN 269ML SIX-PACK SH C/4</v>
      </c>
      <c r="I106" s="3" t="s">
        <v>503</v>
      </c>
      <c r="J10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7" spans="1:10" x14ac:dyDescent="0.25">
      <c r="A107">
        <v>106</v>
      </c>
      <c r="B107" s="1">
        <v>45803.401759259301</v>
      </c>
      <c r="C107" s="1">
        <v>45803.403090277803</v>
      </c>
      <c r="D107" s="3" t="s">
        <v>20</v>
      </c>
      <c r="E107" s="3" t="s">
        <v>24</v>
      </c>
      <c r="F107" s="3"/>
      <c r="G107" s="2">
        <v>9068</v>
      </c>
      <c r="H107" s="2" t="str">
        <f>VLOOKUP(G107,Produtos!A:B,2,FALSE)</f>
        <v>SKOL LATA 350ML SH C/12 NPAL</v>
      </c>
      <c r="I107" s="3" t="s">
        <v>491</v>
      </c>
      <c r="J10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8" spans="1:10" x14ac:dyDescent="0.25">
      <c r="A108">
        <v>107</v>
      </c>
      <c r="B108" s="1">
        <v>45803.404560185198</v>
      </c>
      <c r="C108" s="1">
        <v>45803.405624999999</v>
      </c>
      <c r="D108" s="3" t="s">
        <v>20</v>
      </c>
      <c r="E108" s="3" t="s">
        <v>24</v>
      </c>
      <c r="F108" s="3"/>
      <c r="G108" s="2">
        <v>9320</v>
      </c>
      <c r="H108" s="2" t="str">
        <f>VLOOKUP(G108,Produtos!A:B,2,FALSE)</f>
        <v>BRAHMA CHOPP LT 473ML SH C/12 NPAL</v>
      </c>
      <c r="I108" s="3" t="s">
        <v>491</v>
      </c>
      <c r="J10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09" spans="1:10" x14ac:dyDescent="0.25">
      <c r="A109">
        <v>108</v>
      </c>
      <c r="B109" s="1">
        <v>45804.292395833298</v>
      </c>
      <c r="C109" s="1">
        <v>45804.293078703697</v>
      </c>
      <c r="D109" s="3" t="s">
        <v>20</v>
      </c>
      <c r="E109" s="3" t="s">
        <v>24</v>
      </c>
      <c r="F109" s="3"/>
      <c r="G109" s="2">
        <v>17725</v>
      </c>
      <c r="H109" s="2" t="str">
        <f>VLOOKUP(G109,Produtos!A:B,2,FALSE)</f>
        <v>ANTARCTICA PILSEN LT 350ML SH C/18 MULTP</v>
      </c>
      <c r="I109" s="3" t="s">
        <v>491</v>
      </c>
      <c r="J10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0" spans="1:10" x14ac:dyDescent="0.25">
      <c r="A110">
        <v>109</v>
      </c>
      <c r="B110" s="1">
        <v>45804.390138888899</v>
      </c>
      <c r="C110" s="1">
        <v>45804.390706018501</v>
      </c>
      <c r="D110" s="3" t="s">
        <v>18</v>
      </c>
      <c r="E110" s="3" t="s">
        <v>24</v>
      </c>
      <c r="F110" s="3"/>
      <c r="G110" s="2">
        <v>9081</v>
      </c>
      <c r="H110" s="2" t="str">
        <f>VLOOKUP(G110,Produtos!A:B,2,FALSE)</f>
        <v>MALZBIER BRAHMA LATA 350ML SH C/12 NPAL</v>
      </c>
      <c r="I110" s="3" t="s">
        <v>493</v>
      </c>
      <c r="J11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1" spans="1:10" x14ac:dyDescent="0.25">
      <c r="A111">
        <v>110</v>
      </c>
      <c r="B111" s="1">
        <v>45804.392210648097</v>
      </c>
      <c r="C111" s="1">
        <v>45804.3927430556</v>
      </c>
      <c r="D111" s="3" t="s">
        <v>18</v>
      </c>
      <c r="E111" s="3" t="s">
        <v>24</v>
      </c>
      <c r="F111" s="3"/>
      <c r="G111" s="2">
        <v>17808</v>
      </c>
      <c r="H111" s="2" t="str">
        <f>VLOOKUP(G111,Produtos!A:B,2,FALSE)</f>
        <v>BUDWEISER OW 330ML CX C 24</v>
      </c>
      <c r="I111" s="3" t="s">
        <v>493</v>
      </c>
      <c r="J11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2" spans="1:10" x14ac:dyDescent="0.25">
      <c r="A112">
        <v>111</v>
      </c>
      <c r="B112" s="1">
        <v>45804.3917013889</v>
      </c>
      <c r="C112" s="1">
        <v>45804.3927430556</v>
      </c>
      <c r="D112" s="3" t="s">
        <v>20</v>
      </c>
      <c r="E112" s="3" t="s">
        <v>21</v>
      </c>
      <c r="F112" s="3"/>
      <c r="G112" s="2">
        <v>19225</v>
      </c>
      <c r="H112" s="2" t="str">
        <f>VLOOKUP(G112,Produtos!A:B,2,FALSE)</f>
        <v>RED BULL BR LATA 250ML CAIXA C/24</v>
      </c>
      <c r="I112" s="3" t="s">
        <v>491</v>
      </c>
      <c r="J11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3" spans="1:10" x14ac:dyDescent="0.25">
      <c r="A113">
        <v>112</v>
      </c>
      <c r="B113" s="1">
        <v>45804.392777777801</v>
      </c>
      <c r="C113" s="1">
        <v>45804.393240740697</v>
      </c>
      <c r="D113" s="3" t="s">
        <v>18</v>
      </c>
      <c r="E113" s="3" t="s">
        <v>24</v>
      </c>
      <c r="F113" s="3"/>
      <c r="G113" s="2">
        <v>21119</v>
      </c>
      <c r="H113" s="2" t="str">
        <f>VLOOKUP(G113,Produtos!A:B,2,FALSE)</f>
        <v>SKOL BEATS GT LT 269ML CX CAR C/8</v>
      </c>
      <c r="I113" s="3" t="s">
        <v>493</v>
      </c>
      <c r="J11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4" spans="1:10" x14ac:dyDescent="0.25">
      <c r="A114">
        <v>113</v>
      </c>
      <c r="B114" s="1">
        <v>45804.395937499998</v>
      </c>
      <c r="C114" s="1">
        <v>45804.3971759259</v>
      </c>
      <c r="D114" s="3" t="s">
        <v>20</v>
      </c>
      <c r="E114" s="3" t="s">
        <v>21</v>
      </c>
      <c r="F114" s="3"/>
      <c r="G114" s="2">
        <v>9276</v>
      </c>
      <c r="H114" s="2" t="str">
        <f>VLOOKUP(G114,Produtos!A:B,2,FALSE)</f>
        <v>PEPSI ZERO PET 2L CX C/6</v>
      </c>
      <c r="I114" s="3" t="s">
        <v>493</v>
      </c>
      <c r="J11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5" spans="1:10" x14ac:dyDescent="0.25">
      <c r="A115">
        <v>114</v>
      </c>
      <c r="B115" s="1">
        <v>45804.397430555597</v>
      </c>
      <c r="C115" s="1">
        <v>45804.398009259297</v>
      </c>
      <c r="D115" s="3" t="s">
        <v>18</v>
      </c>
      <c r="E115" s="3" t="s">
        <v>21</v>
      </c>
      <c r="F115" s="3"/>
      <c r="G115" s="2">
        <v>9091</v>
      </c>
      <c r="H115" s="2" t="str">
        <f>VLOOKUP(G115,Produtos!A:B,2,FALSE)</f>
        <v>TONICA ANTARCTICA LT 350ML SH C/12 NPAL</v>
      </c>
      <c r="I115" s="3" t="s">
        <v>493</v>
      </c>
      <c r="J11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6" spans="1:10" x14ac:dyDescent="0.25">
      <c r="A116">
        <v>115</v>
      </c>
      <c r="B116" s="1">
        <v>45804.398807870399</v>
      </c>
      <c r="C116" s="1">
        <v>45804.399467592601</v>
      </c>
      <c r="D116" s="3" t="s">
        <v>20</v>
      </c>
      <c r="E116" s="3" t="s">
        <v>34</v>
      </c>
      <c r="F116" s="3"/>
      <c r="G116" s="2">
        <v>9084</v>
      </c>
      <c r="H116" s="2" t="str">
        <f>VLOOKUP(G116,Produtos!A:B,2,FALSE)</f>
        <v>GUARANA CHP ANTARCT LT350ML SH C/12 NPAL</v>
      </c>
      <c r="I116" s="3" t="s">
        <v>491</v>
      </c>
      <c r="J11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7" spans="1:10" x14ac:dyDescent="0.25">
      <c r="A117">
        <v>116</v>
      </c>
      <c r="B117" s="1">
        <v>45804.3992939815</v>
      </c>
      <c r="C117" s="1">
        <v>45804.399814814802</v>
      </c>
      <c r="D117" s="3" t="s">
        <v>18</v>
      </c>
      <c r="E117" s="3" t="s">
        <v>21</v>
      </c>
      <c r="F117" s="3"/>
      <c r="G117" s="2">
        <v>19225</v>
      </c>
      <c r="H117" s="2" t="str">
        <f>VLOOKUP(G117,Produtos!A:B,2,FALSE)</f>
        <v>RED BULL BR LATA 250ML CAIXA C/24</v>
      </c>
      <c r="I117" s="3" t="s">
        <v>493</v>
      </c>
      <c r="J11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8" spans="1:10" x14ac:dyDescent="0.25">
      <c r="A118">
        <v>117</v>
      </c>
      <c r="B118" s="1">
        <v>45804.409606481502</v>
      </c>
      <c r="C118" s="1">
        <v>45804.410254629598</v>
      </c>
      <c r="D118" s="3" t="s">
        <v>20</v>
      </c>
      <c r="E118" s="3" t="s">
        <v>24</v>
      </c>
      <c r="F118" s="3"/>
      <c r="G118" s="2">
        <v>17725</v>
      </c>
      <c r="H118" s="2" t="str">
        <f>VLOOKUP(G118,Produtos!A:B,2,FALSE)</f>
        <v>ANTARCTICA PILSEN LT 350ML SH C/18 MULTP</v>
      </c>
      <c r="I118" s="3" t="s">
        <v>491</v>
      </c>
      <c r="J11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19" spans="1:10" x14ac:dyDescent="0.25">
      <c r="A119">
        <v>118</v>
      </c>
      <c r="B119" s="1">
        <v>45804.648854166699</v>
      </c>
      <c r="C119" s="1">
        <v>45804.6511342593</v>
      </c>
      <c r="D119" s="3" t="s">
        <v>32</v>
      </c>
      <c r="E119" s="3" t="s">
        <v>15</v>
      </c>
      <c r="F119" s="3"/>
      <c r="G119" s="3"/>
      <c r="H119" s="3" t="e">
        <f>VLOOKUP(G119,Produtos!A:B,2,FALSE)</f>
        <v>#N/A</v>
      </c>
      <c r="I119" s="3"/>
      <c r="J11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0" spans="1:10" x14ac:dyDescent="0.25">
      <c r="A120">
        <v>119</v>
      </c>
      <c r="B120" s="1">
        <v>45805.4075115741</v>
      </c>
      <c r="C120" s="1">
        <v>45805.408333333296</v>
      </c>
      <c r="D120" s="3" t="s">
        <v>20</v>
      </c>
      <c r="E120" s="3" t="s">
        <v>24</v>
      </c>
      <c r="F120" s="3"/>
      <c r="G120" s="2">
        <v>9068</v>
      </c>
      <c r="H120" s="2" t="str">
        <f>VLOOKUP(G120,Produtos!A:B,2,FALSE)</f>
        <v>SKOL LATA 350ML SH C/12 NPAL</v>
      </c>
      <c r="I120" s="3" t="s">
        <v>491</v>
      </c>
      <c r="J12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1" spans="1:10" x14ac:dyDescent="0.25">
      <c r="A121">
        <v>120</v>
      </c>
      <c r="B121" s="1">
        <v>45805.409375000003</v>
      </c>
      <c r="C121" s="1">
        <v>45805.410289351901</v>
      </c>
      <c r="D121" s="3" t="s">
        <v>20</v>
      </c>
      <c r="E121" s="3" t="s">
        <v>26</v>
      </c>
      <c r="F121" s="3"/>
      <c r="G121" s="2">
        <v>6903</v>
      </c>
      <c r="H121" s="2" t="str">
        <f>VLOOKUP(G121,Produtos!A:B,2,FALSE)</f>
        <v>AGUA M F DA ILHA S/G PVC 500ML CAIXA C/1</v>
      </c>
      <c r="I121" s="3" t="s">
        <v>492</v>
      </c>
      <c r="J12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2" spans="1:10" x14ac:dyDescent="0.25">
      <c r="A122">
        <v>121</v>
      </c>
      <c r="B122" s="1">
        <v>45805.410520833299</v>
      </c>
      <c r="C122" s="1">
        <v>45805.411157407398</v>
      </c>
      <c r="D122" s="3" t="s">
        <v>18</v>
      </c>
      <c r="E122" s="3" t="s">
        <v>24</v>
      </c>
      <c r="F122" s="3"/>
      <c r="G122" s="2">
        <v>9089</v>
      </c>
      <c r="H122" s="2" t="str">
        <f>VLOOKUP(G122,Produtos!A:B,2,FALSE)</f>
        <v>SUKITA LATA 350ML SH C/12 NPAL</v>
      </c>
      <c r="I122" s="3" t="s">
        <v>493</v>
      </c>
      <c r="J12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3" spans="1:10" x14ac:dyDescent="0.25">
      <c r="A123">
        <v>122</v>
      </c>
      <c r="B123" s="1">
        <v>45805.411180555602</v>
      </c>
      <c r="C123" s="1">
        <v>45805.412013888897</v>
      </c>
      <c r="D123" s="3" t="s">
        <v>18</v>
      </c>
      <c r="E123" s="3" t="s">
        <v>24</v>
      </c>
      <c r="F123" s="3"/>
      <c r="G123" s="2">
        <v>1898</v>
      </c>
      <c r="H123" s="2" t="str">
        <f>VLOOKUP(G123,Produtos!A:B,2,FALSE)</f>
        <v>BRAHMA CHOPP LT 269ML SH C/15 NPAL</v>
      </c>
      <c r="I123" s="3" t="s">
        <v>493</v>
      </c>
      <c r="J12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4" spans="1:10" x14ac:dyDescent="0.25">
      <c r="A124">
        <v>123</v>
      </c>
      <c r="B124" s="1">
        <v>45807.215972222199</v>
      </c>
      <c r="C124" s="1">
        <v>45807.222175925897</v>
      </c>
      <c r="D124" s="3" t="s">
        <v>27</v>
      </c>
      <c r="E124" s="3" t="s">
        <v>24</v>
      </c>
      <c r="F124" s="3"/>
      <c r="G124" s="2">
        <v>17797</v>
      </c>
      <c r="H124" s="2" t="str">
        <f>VLOOKUP(G124,Produtos!A:B,2,FALSE)</f>
        <v>BRAHMA CHOPP LATA 350ML SH 18 MULTIPACK</v>
      </c>
      <c r="I124" s="3" t="s">
        <v>493</v>
      </c>
      <c r="J12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5" spans="1:10" x14ac:dyDescent="0.25">
      <c r="A125">
        <v>124</v>
      </c>
      <c r="B125" s="1">
        <v>45807.225497685198</v>
      </c>
      <c r="C125" s="1">
        <v>45807.226342592599</v>
      </c>
      <c r="D125" s="3" t="s">
        <v>27</v>
      </c>
      <c r="E125" s="3" t="s">
        <v>24</v>
      </c>
      <c r="F125" s="3"/>
      <c r="G125" s="2">
        <v>9084</v>
      </c>
      <c r="H125" s="2" t="str">
        <f>VLOOKUP(G125,Produtos!A:B,2,FALSE)</f>
        <v>GUARANA CHP ANTARCT LT350ML SH C/12 NPAL</v>
      </c>
      <c r="I125" s="3" t="s">
        <v>493</v>
      </c>
      <c r="J12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6" spans="1:10" x14ac:dyDescent="0.25">
      <c r="A126">
        <v>125</v>
      </c>
      <c r="B126" s="1">
        <v>45807.229907407404</v>
      </c>
      <c r="C126" s="1">
        <v>45807.230682870402</v>
      </c>
      <c r="D126" s="3" t="s">
        <v>27</v>
      </c>
      <c r="E126" s="3" t="s">
        <v>15</v>
      </c>
      <c r="F126" s="3"/>
      <c r="G126" s="2">
        <v>9274</v>
      </c>
      <c r="H126" s="2" t="str">
        <f>VLOOKUP(G126,Produtos!A:B,2,FALSE)</f>
        <v>PEPSI ZERO LATA 350ML SH C/12 NPAL</v>
      </c>
      <c r="I126" s="3" t="s">
        <v>493</v>
      </c>
      <c r="J12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7" spans="1:10" x14ac:dyDescent="0.25">
      <c r="A127">
        <v>126</v>
      </c>
      <c r="B127" s="1">
        <v>45807.232222222199</v>
      </c>
      <c r="C127" s="1">
        <v>45807.233136574097</v>
      </c>
      <c r="D127" s="3" t="s">
        <v>27</v>
      </c>
      <c r="E127" s="3" t="s">
        <v>15</v>
      </c>
      <c r="F127" s="3"/>
      <c r="G127" s="2">
        <v>9085</v>
      </c>
      <c r="H127" s="2" t="str">
        <f>VLOOKUP(G127,Produtos!A:B,2,FALSE)</f>
        <v>GUARANA CHP ANTARCT DIET LT350ML SHC/12</v>
      </c>
      <c r="I127" s="3" t="s">
        <v>493</v>
      </c>
      <c r="J12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8" spans="1:10" x14ac:dyDescent="0.25">
      <c r="A128">
        <v>127</v>
      </c>
      <c r="B128" s="1">
        <v>45807.372465277796</v>
      </c>
      <c r="C128" s="1">
        <v>45807.373055555603</v>
      </c>
      <c r="D128" s="3" t="s">
        <v>20</v>
      </c>
      <c r="E128" s="3" t="s">
        <v>24</v>
      </c>
      <c r="F128" s="3"/>
      <c r="G128" s="2">
        <v>12948</v>
      </c>
      <c r="H128" s="2" t="str">
        <f>VLOOKUP(G128,Produtos!A:B,2,FALSE)</f>
        <v>BRAHMA CHOPP ZERO LATA 350 SH CX C12 NPA</v>
      </c>
      <c r="I128" s="3" t="s">
        <v>491</v>
      </c>
      <c r="J12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29" spans="1:10" x14ac:dyDescent="0.25">
      <c r="A129">
        <v>128</v>
      </c>
      <c r="B129" s="1">
        <v>45807.373761574097</v>
      </c>
      <c r="C129" s="1">
        <v>45807.374606481499</v>
      </c>
      <c r="D129" s="3" t="s">
        <v>20</v>
      </c>
      <c r="E129" s="3" t="s">
        <v>24</v>
      </c>
      <c r="F129" s="3"/>
      <c r="G129" s="2">
        <v>2008</v>
      </c>
      <c r="H129" s="2" t="str">
        <f>VLOOKUP(G129,Produtos!A:B,2,FALSE)</f>
        <v>ANTARCTICA SUBZERO LT 350ML SH C/12 NPAL</v>
      </c>
      <c r="I129" s="3" t="s">
        <v>493</v>
      </c>
      <c r="J12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0" spans="1:10" x14ac:dyDescent="0.25">
      <c r="A130">
        <v>129</v>
      </c>
      <c r="B130" s="1">
        <v>45807.375868055598</v>
      </c>
      <c r="C130" s="1">
        <v>45807.376469907402</v>
      </c>
      <c r="D130" s="3" t="s">
        <v>20</v>
      </c>
      <c r="E130" s="3" t="s">
        <v>24</v>
      </c>
      <c r="F130" s="3"/>
      <c r="G130" s="2">
        <v>9092</v>
      </c>
      <c r="H130" s="2" t="str">
        <f>VLOOKUP(G130,Produtos!A:B,2,FALSE)</f>
        <v>TONICA ANTARCTICA DIET LT350MLSHC/12 PAL</v>
      </c>
      <c r="I130" s="3" t="s">
        <v>491</v>
      </c>
      <c r="J13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1" spans="1:10" x14ac:dyDescent="0.25">
      <c r="A131">
        <v>130</v>
      </c>
      <c r="B131" s="1">
        <v>45807.378275463001</v>
      </c>
      <c r="C131" s="1">
        <v>45807.378842592603</v>
      </c>
      <c r="D131" s="3" t="s">
        <v>20</v>
      </c>
      <c r="E131" s="3" t="s">
        <v>24</v>
      </c>
      <c r="F131" s="3"/>
      <c r="G131" s="2">
        <v>1898</v>
      </c>
      <c r="H131" s="2" t="str">
        <f>VLOOKUP(G131,Produtos!A:B,2,FALSE)</f>
        <v>BRAHMA CHOPP LT 269ML SH C/15 NPAL</v>
      </c>
      <c r="I131" s="3" t="s">
        <v>491</v>
      </c>
      <c r="J131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2" spans="1:10" x14ac:dyDescent="0.25">
      <c r="A132">
        <v>131</v>
      </c>
      <c r="B132" s="1">
        <v>45807.378472222197</v>
      </c>
      <c r="C132" s="1">
        <v>45807.379074074102</v>
      </c>
      <c r="D132" s="3" t="s">
        <v>18</v>
      </c>
      <c r="E132" s="3" t="s">
        <v>24</v>
      </c>
      <c r="F132" s="3"/>
      <c r="G132" s="2">
        <v>9081</v>
      </c>
      <c r="H132" s="2" t="str">
        <f>VLOOKUP(G132,Produtos!A:B,2,FALSE)</f>
        <v>MALZBIER BRAHMA LATA 350ML SH C/12 NPAL</v>
      </c>
      <c r="I132" s="3" t="s">
        <v>493</v>
      </c>
      <c r="J132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3" spans="1:10" x14ac:dyDescent="0.25">
      <c r="A133">
        <v>132</v>
      </c>
      <c r="B133" s="1">
        <v>45807.3820486111</v>
      </c>
      <c r="C133" s="1">
        <v>45807.382870370398</v>
      </c>
      <c r="D133" s="3" t="s">
        <v>20</v>
      </c>
      <c r="E133" s="3" t="s">
        <v>26</v>
      </c>
      <c r="F133" s="3"/>
      <c r="G133" s="2">
        <v>6905</v>
      </c>
      <c r="H133" s="2" t="str">
        <f>VLOOKUP(G133,Produtos!A:B,2,FALSE)</f>
        <v>AGUA M F DA ILHA C/G PVC 500ML CAIXA C/1</v>
      </c>
      <c r="I133" s="3" t="s">
        <v>491</v>
      </c>
      <c r="J133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4" spans="1:10" x14ac:dyDescent="0.25">
      <c r="A134">
        <v>133</v>
      </c>
      <c r="B134" s="1">
        <v>45807.389421296299</v>
      </c>
      <c r="C134" s="1">
        <v>45807.390347222201</v>
      </c>
      <c r="D134" s="3" t="s">
        <v>20</v>
      </c>
      <c r="E134" s="3" t="s">
        <v>34</v>
      </c>
      <c r="F134" s="3"/>
      <c r="G134" s="2">
        <v>2132</v>
      </c>
      <c r="H134" s="2" t="str">
        <f>VLOOKUP(G134,Produtos!A:B,2,FALSE)</f>
        <v>GUARANA CHP ANTARCTICA PET1L CX C/6 NRIO</v>
      </c>
      <c r="I134" s="3" t="s">
        <v>492</v>
      </c>
      <c r="J134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5" spans="1:10" x14ac:dyDescent="0.25">
      <c r="A135">
        <v>134</v>
      </c>
      <c r="B135" s="1">
        <v>45807.3913888889</v>
      </c>
      <c r="C135" s="1">
        <v>45807.392233796301</v>
      </c>
      <c r="D135" s="3" t="s">
        <v>20</v>
      </c>
      <c r="E135" s="3" t="s">
        <v>34</v>
      </c>
      <c r="F135" s="3"/>
      <c r="G135" s="2">
        <v>6905</v>
      </c>
      <c r="H135" s="2" t="str">
        <f>VLOOKUP(G135,Produtos!A:B,2,FALSE)</f>
        <v>AGUA M F DA ILHA C/G PVC 500ML CAIXA C/1</v>
      </c>
      <c r="I135" s="3" t="s">
        <v>492</v>
      </c>
      <c r="J135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6" spans="1:10" x14ac:dyDescent="0.25">
      <c r="A136">
        <v>135</v>
      </c>
      <c r="B136" s="1">
        <v>45807.7976851852</v>
      </c>
      <c r="C136" s="1">
        <v>45807.8018981481</v>
      </c>
      <c r="D136" s="3" t="s">
        <v>32</v>
      </c>
      <c r="E136" s="3" t="s">
        <v>15</v>
      </c>
      <c r="F136" s="3"/>
      <c r="G136" s="3"/>
      <c r="H136" s="3" t="e">
        <f>VLOOKUP(G136,Produtos!A:B,2,FALSE)</f>
        <v>#N/A</v>
      </c>
      <c r="I136" s="3"/>
      <c r="J136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7" spans="1:10" x14ac:dyDescent="0.25">
      <c r="A137">
        <v>136</v>
      </c>
      <c r="B137" s="1">
        <v>45808.255555555603</v>
      </c>
      <c r="C137" s="1">
        <v>45808.256631944401</v>
      </c>
      <c r="D137" s="3" t="s">
        <v>18</v>
      </c>
      <c r="E137" s="3" t="s">
        <v>24</v>
      </c>
      <c r="F137" s="3"/>
      <c r="G137" s="2">
        <v>8411</v>
      </c>
      <c r="H137" s="2" t="str">
        <f>VLOOKUP(G137,Produtos!A:B,2,FALSE)</f>
        <v>GUARANA CHP ANTARCTICA PET 1,5L SH C/6</v>
      </c>
      <c r="I137" s="3" t="s">
        <v>493</v>
      </c>
      <c r="J137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8" spans="1:10" x14ac:dyDescent="0.25">
      <c r="A138">
        <v>137</v>
      </c>
      <c r="B138" s="1">
        <v>45808.258831018502</v>
      </c>
      <c r="C138" s="1">
        <v>45808.259444444397</v>
      </c>
      <c r="D138" s="3" t="s">
        <v>18</v>
      </c>
      <c r="E138" s="3" t="s">
        <v>24</v>
      </c>
      <c r="F138" s="3"/>
      <c r="G138" s="2">
        <v>20498</v>
      </c>
      <c r="H138" s="2" t="str">
        <f>VLOOKUP(G138,Produtos!A:B,2,FALSE)</f>
        <v>BRAHMA DUPLO MALTE LT SLEEK 350ML SH C12</v>
      </c>
      <c r="I138" s="3" t="s">
        <v>493</v>
      </c>
      <c r="J138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39" spans="1:10" x14ac:dyDescent="0.25">
      <c r="A139">
        <v>138</v>
      </c>
      <c r="B139" s="1">
        <v>45808.260266203702</v>
      </c>
      <c r="C139" s="1">
        <v>45808.260844907403</v>
      </c>
      <c r="D139" s="3" t="s">
        <v>18</v>
      </c>
      <c r="E139" s="3" t="s">
        <v>26</v>
      </c>
      <c r="F139" s="3"/>
      <c r="G139" s="2">
        <v>17797</v>
      </c>
      <c r="H139" s="2" t="str">
        <f>VLOOKUP(G139,Produtos!A:B,2,FALSE)</f>
        <v>BRAHMA CHOPP LATA 350ML SH 18 MULTIPACK</v>
      </c>
      <c r="I139" s="3" t="s">
        <v>493</v>
      </c>
      <c r="J139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40" spans="1:10" x14ac:dyDescent="0.25">
      <c r="A140">
        <v>139</v>
      </c>
      <c r="B140" s="1">
        <v>45808.642592592601</v>
      </c>
      <c r="C140" s="1">
        <v>45808.6632060185</v>
      </c>
      <c r="D140" s="3" t="s">
        <v>29</v>
      </c>
      <c r="E140" s="3" t="s">
        <v>16</v>
      </c>
      <c r="F140" s="3"/>
      <c r="G140" s="3" t="s">
        <v>36</v>
      </c>
      <c r="H140" s="3" t="e">
        <f>VLOOKUP(G140,Produtos!A:B,2,FALSE)</f>
        <v>#N/A</v>
      </c>
      <c r="I140" s="3" t="s">
        <v>493</v>
      </c>
      <c r="J140" s="1" t="str">
        <f>YEAR(Table1[[#This Row],[Hora de início]])&amp;"/"&amp;IF(MONTH(Table1[[#This Row],[Hora de início]])&lt;10,"0"&amp;MONTH(Table1[[#This Row],[Hora de início]]),MONTH(Table1[[#This Row],[Hora de início]]))</f>
        <v>2025/05</v>
      </c>
    </row>
    <row r="141" spans="1:10" x14ac:dyDescent="0.25">
      <c r="A141">
        <v>140</v>
      </c>
      <c r="B141" s="1">
        <v>45810.3797106481</v>
      </c>
      <c r="C141" s="1">
        <v>45810.3809259259</v>
      </c>
      <c r="D141" s="3" t="s">
        <v>20</v>
      </c>
      <c r="E141" s="3" t="s">
        <v>24</v>
      </c>
      <c r="F141" s="3"/>
      <c r="G141" s="2">
        <v>9096</v>
      </c>
      <c r="H141" s="2" t="str">
        <f>VLOOKUP(G141,Produtos!A:B,2,FALSE)</f>
        <v>PEPSI COLA LATA 350ML SH C/12 NPAL</v>
      </c>
      <c r="I141" s="3" t="s">
        <v>491</v>
      </c>
      <c r="J1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2" spans="1:10" x14ac:dyDescent="0.25">
      <c r="A142">
        <v>141</v>
      </c>
      <c r="B142" s="1">
        <v>45810.382511574098</v>
      </c>
      <c r="C142" s="1">
        <v>45810.384085648097</v>
      </c>
      <c r="D142" s="3" t="s">
        <v>20</v>
      </c>
      <c r="E142" s="3" t="s">
        <v>24</v>
      </c>
      <c r="F142" s="3"/>
      <c r="G142" s="2">
        <v>14135</v>
      </c>
      <c r="H142" s="2" t="str">
        <f>VLOOKUP(G142,Produtos!A:B,2,FALSE)</f>
        <v>BUDWEISER LT 473ML SIX-PACK SH C/2 NPAL</v>
      </c>
      <c r="I142" s="3" t="s">
        <v>491</v>
      </c>
      <c r="J1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3" spans="1:10" x14ac:dyDescent="0.25">
      <c r="A143">
        <v>142</v>
      </c>
      <c r="B143" s="1">
        <v>45810.384108796301</v>
      </c>
      <c r="C143" s="1">
        <v>45810.384710648097</v>
      </c>
      <c r="D143" s="3" t="s">
        <v>18</v>
      </c>
      <c r="E143" s="3" t="s">
        <v>24</v>
      </c>
      <c r="F143" s="3"/>
      <c r="G143" s="2">
        <v>9083</v>
      </c>
      <c r="H143" s="2" t="str">
        <f>VLOOKUP(G143,Produtos!A:B,2,FALSE)</f>
        <v>SKOL LT 473ML SH C/12 NPAL</v>
      </c>
      <c r="I143" s="3" t="s">
        <v>493</v>
      </c>
      <c r="J1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4" spans="1:10" x14ac:dyDescent="0.25">
      <c r="A144">
        <v>143</v>
      </c>
      <c r="B144" s="1">
        <v>45810.386342592603</v>
      </c>
      <c r="C144" s="1">
        <v>45810.386863425898</v>
      </c>
      <c r="D144" s="3" t="s">
        <v>20</v>
      </c>
      <c r="E144" s="3" t="s">
        <v>26</v>
      </c>
      <c r="F144" s="3"/>
      <c r="G144" s="2">
        <v>21020</v>
      </c>
      <c r="H144" s="2" t="str">
        <f>VLOOKUP(G144,Produtos!A:B,2,FALSE)</f>
        <v>BUDWEISER LT SLEEK 350ML CX CART C12</v>
      </c>
      <c r="I144" s="3" t="s">
        <v>491</v>
      </c>
      <c r="J1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5" spans="1:10" x14ac:dyDescent="0.25">
      <c r="A145">
        <v>144</v>
      </c>
      <c r="B145" s="1">
        <v>45810.388217592597</v>
      </c>
      <c r="C145" s="1">
        <v>45810.388993055603</v>
      </c>
      <c r="D145" s="3" t="s">
        <v>20</v>
      </c>
      <c r="E145" s="3" t="s">
        <v>24</v>
      </c>
      <c r="F145" s="3"/>
      <c r="G145" s="2">
        <v>9067</v>
      </c>
      <c r="H145" s="2" t="str">
        <f>VLOOKUP(G145,Produtos!A:B,2,FALSE)</f>
        <v>ANTARCTICA PILSEN LATA 350ML SH C/12 NPA</v>
      </c>
      <c r="I145" s="3" t="s">
        <v>491</v>
      </c>
      <c r="J1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6" spans="1:10" x14ac:dyDescent="0.25">
      <c r="A146">
        <v>145</v>
      </c>
      <c r="B146" s="1">
        <v>45811.393993055601</v>
      </c>
      <c r="C146" s="1">
        <v>45811.394664351901</v>
      </c>
      <c r="D146" s="3" t="s">
        <v>20</v>
      </c>
      <c r="E146" s="3" t="s">
        <v>24</v>
      </c>
      <c r="F146" s="3"/>
      <c r="G146" s="2">
        <v>9068</v>
      </c>
      <c r="H146" s="2" t="str">
        <f>VLOOKUP(G146,Produtos!A:B,2,FALSE)</f>
        <v>SKOL LATA 350ML SH C/12 NPAL</v>
      </c>
      <c r="I146" s="3" t="s">
        <v>491</v>
      </c>
      <c r="J1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7" spans="1:10" x14ac:dyDescent="0.25">
      <c r="A147">
        <v>146</v>
      </c>
      <c r="B147" s="1">
        <v>45811.401215277801</v>
      </c>
      <c r="C147" s="1">
        <v>45811.402546296304</v>
      </c>
      <c r="D147" s="3" t="s">
        <v>20</v>
      </c>
      <c r="E147" s="3" t="s">
        <v>21</v>
      </c>
      <c r="F147" s="3"/>
      <c r="G147" s="2">
        <v>17797</v>
      </c>
      <c r="H147" s="2" t="str">
        <f>VLOOKUP(G147,Produtos!A:B,2,FALSE)</f>
        <v>BRAHMA CHOPP LATA 350ML SH 18 MULTIPACK</v>
      </c>
      <c r="I147" s="3" t="s">
        <v>493</v>
      </c>
      <c r="J1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8" spans="1:10" x14ac:dyDescent="0.25">
      <c r="A148">
        <v>147</v>
      </c>
      <c r="B148" s="1">
        <v>45812.5203819444</v>
      </c>
      <c r="C148" s="1">
        <v>45812.521099537</v>
      </c>
      <c r="D148" s="3" t="s">
        <v>20</v>
      </c>
      <c r="E148" s="3" t="s">
        <v>24</v>
      </c>
      <c r="F148" s="3"/>
      <c r="G148" s="2">
        <v>20651</v>
      </c>
      <c r="H148" s="2" t="str">
        <f>VLOOKUP(G148,Produtos!A:B,2,FALSE)</f>
        <v>CORONA N LT SLEEK 350ML CX 8</v>
      </c>
      <c r="I148" s="3" t="s">
        <v>493</v>
      </c>
      <c r="J1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49" spans="1:10" x14ac:dyDescent="0.25">
      <c r="A149">
        <v>148</v>
      </c>
      <c r="B149" s="1">
        <v>45812.526435185202</v>
      </c>
      <c r="C149" s="1">
        <v>45812.527291666702</v>
      </c>
      <c r="D149" s="3" t="s">
        <v>20</v>
      </c>
      <c r="E149" s="3" t="s">
        <v>21</v>
      </c>
      <c r="F149" s="3"/>
      <c r="G149" s="2">
        <v>9084</v>
      </c>
      <c r="H149" s="2" t="str">
        <f>VLOOKUP(G149,Produtos!A:B,2,FALSE)</f>
        <v>GUARANA CHP ANTARCT LT350ML SH C/12 NPAL</v>
      </c>
      <c r="I149" s="3" t="s">
        <v>493</v>
      </c>
      <c r="J1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0" spans="1:10" x14ac:dyDescent="0.25">
      <c r="A150">
        <v>149</v>
      </c>
      <c r="B150" s="1">
        <v>45812.528842592597</v>
      </c>
      <c r="C150" s="1">
        <v>45812.529641203699</v>
      </c>
      <c r="D150" s="3" t="s">
        <v>20</v>
      </c>
      <c r="E150" s="3" t="s">
        <v>21</v>
      </c>
      <c r="F150" s="3"/>
      <c r="G150" s="2">
        <v>9084</v>
      </c>
      <c r="H150" s="2" t="str">
        <f>VLOOKUP(G150,Produtos!A:B,2,FALSE)</f>
        <v>GUARANA CHP ANTARCT LT350ML SH C/12 NPAL</v>
      </c>
      <c r="I150" s="3" t="s">
        <v>491</v>
      </c>
      <c r="J1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1" spans="1:10" x14ac:dyDescent="0.25">
      <c r="A151">
        <v>150</v>
      </c>
      <c r="B151" s="1">
        <v>45812.529710648101</v>
      </c>
      <c r="C151" s="1">
        <v>45812.530243055597</v>
      </c>
      <c r="D151" s="3" t="s">
        <v>20</v>
      </c>
      <c r="E151" s="3" t="s">
        <v>21</v>
      </c>
      <c r="F151" s="3"/>
      <c r="G151" s="2">
        <v>9084</v>
      </c>
      <c r="H151" s="2" t="str">
        <f>VLOOKUP(G151,Produtos!A:B,2,FALSE)</f>
        <v>GUARANA CHP ANTARCT LT350ML SH C/12 NPAL</v>
      </c>
      <c r="I151" s="3" t="s">
        <v>491</v>
      </c>
      <c r="J1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2" spans="1:10" x14ac:dyDescent="0.25">
      <c r="A152">
        <v>151</v>
      </c>
      <c r="B152" s="1">
        <v>45812.531030092599</v>
      </c>
      <c r="C152" s="1">
        <v>45812.531585648103</v>
      </c>
      <c r="D152" s="3" t="s">
        <v>20</v>
      </c>
      <c r="E152" s="3" t="s">
        <v>21</v>
      </c>
      <c r="F152" s="3"/>
      <c r="G152" s="2">
        <v>9084</v>
      </c>
      <c r="H152" s="2" t="str">
        <f>VLOOKUP(G152,Produtos!A:B,2,FALSE)</f>
        <v>GUARANA CHP ANTARCT LT350ML SH C/12 NPAL</v>
      </c>
      <c r="I152" s="3" t="s">
        <v>491</v>
      </c>
      <c r="J1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3" spans="1:10" x14ac:dyDescent="0.25">
      <c r="A153">
        <v>152</v>
      </c>
      <c r="B153" s="1">
        <v>45813.3652546296</v>
      </c>
      <c r="C153" s="1">
        <v>45813.365983796299</v>
      </c>
      <c r="D153" s="3" t="s">
        <v>18</v>
      </c>
      <c r="E153" s="3" t="s">
        <v>24</v>
      </c>
      <c r="F153" s="3"/>
      <c r="G153" s="2">
        <v>18807</v>
      </c>
      <c r="H153" s="2" t="str">
        <f>VLOOKUP(G153,Produtos!A:B,2,FALSE)</f>
        <v>STELLA ARTOIS LN 330ML 6PACK SHR C 4</v>
      </c>
      <c r="I153" s="3" t="s">
        <v>493</v>
      </c>
      <c r="J1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4" spans="1:10" x14ac:dyDescent="0.25">
      <c r="A154">
        <v>153</v>
      </c>
      <c r="B154" s="1">
        <v>45813.368587962999</v>
      </c>
      <c r="C154" s="1">
        <v>45813.370011574101</v>
      </c>
      <c r="D154" s="3" t="s">
        <v>20</v>
      </c>
      <c r="E154" s="3" t="s">
        <v>21</v>
      </c>
      <c r="F154" s="3"/>
      <c r="G154" s="2">
        <v>9096</v>
      </c>
      <c r="H154" s="2" t="str">
        <f>VLOOKUP(G154,Produtos!A:B,2,FALSE)</f>
        <v>PEPSI COLA LATA 350ML SH C/12 NPAL</v>
      </c>
      <c r="I154" s="3" t="s">
        <v>491</v>
      </c>
      <c r="J1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5" spans="1:10" x14ac:dyDescent="0.25">
      <c r="A155">
        <v>154</v>
      </c>
      <c r="B155" s="1">
        <v>45813.371608796297</v>
      </c>
      <c r="C155" s="1">
        <v>45813.372974537</v>
      </c>
      <c r="D155" s="3" t="s">
        <v>20</v>
      </c>
      <c r="E155" s="3" t="s">
        <v>21</v>
      </c>
      <c r="F155" s="3"/>
      <c r="G155" s="2">
        <v>17797</v>
      </c>
      <c r="H155" s="2" t="str">
        <f>VLOOKUP(G155,Produtos!A:B,2,FALSE)</f>
        <v>BRAHMA CHOPP LATA 350ML SH 18 MULTIPACK</v>
      </c>
      <c r="I155" s="3" t="s">
        <v>491</v>
      </c>
      <c r="J1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6" spans="1:10" x14ac:dyDescent="0.25">
      <c r="A156">
        <v>155</v>
      </c>
      <c r="B156" s="1">
        <v>45813.3745023148</v>
      </c>
      <c r="C156" s="1">
        <v>45813.375081018501</v>
      </c>
      <c r="D156" s="3" t="s">
        <v>20</v>
      </c>
      <c r="E156" s="3" t="s">
        <v>34</v>
      </c>
      <c r="F156" s="3"/>
      <c r="G156" s="2">
        <v>6905</v>
      </c>
      <c r="H156" s="2" t="str">
        <f>VLOOKUP(G156,Produtos!A:B,2,FALSE)</f>
        <v>AGUA M F DA ILHA C/G PVC 500ML CAIXA C/1</v>
      </c>
      <c r="I156" s="3" t="s">
        <v>492</v>
      </c>
      <c r="J1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7" spans="1:10" x14ac:dyDescent="0.25">
      <c r="A157">
        <v>156</v>
      </c>
      <c r="B157" s="1">
        <v>45813.378148148098</v>
      </c>
      <c r="C157" s="1">
        <v>45813.378807870402</v>
      </c>
      <c r="D157" s="3" t="s">
        <v>20</v>
      </c>
      <c r="E157" s="3" t="s">
        <v>26</v>
      </c>
      <c r="F157" s="3"/>
      <c r="G157" s="2">
        <v>21020</v>
      </c>
      <c r="H157" s="2" t="str">
        <f>VLOOKUP(G157,Produtos!A:B,2,FALSE)</f>
        <v>BUDWEISER LT SLEEK 350ML CX CART C12</v>
      </c>
      <c r="I157" s="3" t="s">
        <v>493</v>
      </c>
      <c r="J1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8" spans="1:10" x14ac:dyDescent="0.25">
      <c r="A158">
        <v>157</v>
      </c>
      <c r="B158" s="1">
        <v>45813.398113425901</v>
      </c>
      <c r="C158" s="1">
        <v>45813.3987962963</v>
      </c>
      <c r="D158" s="3" t="s">
        <v>20</v>
      </c>
      <c r="E158" s="3" t="s">
        <v>24</v>
      </c>
      <c r="F158" s="3"/>
      <c r="G158" s="2">
        <v>9068</v>
      </c>
      <c r="H158" s="2" t="str">
        <f>VLOOKUP(G158,Produtos!A:B,2,FALSE)</f>
        <v>SKOL LATA 350ML SH C/12 NPAL</v>
      </c>
      <c r="I158" s="3" t="s">
        <v>493</v>
      </c>
      <c r="J1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59" spans="1:10" x14ac:dyDescent="0.25">
      <c r="A159">
        <v>158</v>
      </c>
      <c r="B159" s="1">
        <v>45813.3988425926</v>
      </c>
      <c r="C159" s="1">
        <v>45813.399479166699</v>
      </c>
      <c r="D159" s="3" t="s">
        <v>20</v>
      </c>
      <c r="E159" s="3" t="s">
        <v>24</v>
      </c>
      <c r="F159" s="3"/>
      <c r="G159" s="2">
        <v>9068</v>
      </c>
      <c r="H159" s="2" t="str">
        <f>VLOOKUP(G159,Produtos!A:B,2,FALSE)</f>
        <v>SKOL LATA 350ML SH C/12 NPAL</v>
      </c>
      <c r="I159" s="3" t="s">
        <v>491</v>
      </c>
      <c r="J1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0" spans="1:10" x14ac:dyDescent="0.25">
      <c r="A160">
        <v>159</v>
      </c>
      <c r="B160" s="1">
        <v>45813.402523148099</v>
      </c>
      <c r="C160" s="1">
        <v>45813.403391203698</v>
      </c>
      <c r="D160" s="3" t="s">
        <v>20</v>
      </c>
      <c r="E160" s="3" t="s">
        <v>24</v>
      </c>
      <c r="F160" s="3"/>
      <c r="G160" s="2">
        <v>9085</v>
      </c>
      <c r="H160" s="2" t="str">
        <f>VLOOKUP(G160,Produtos!A:B,2,FALSE)</f>
        <v>GUARANA CHP ANTARCT DIET LT350ML SHC/12</v>
      </c>
      <c r="I160" s="3" t="s">
        <v>500</v>
      </c>
      <c r="J1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1" spans="1:10" x14ac:dyDescent="0.25">
      <c r="A161">
        <v>160</v>
      </c>
      <c r="B161" s="1">
        <v>45813.6269791667</v>
      </c>
      <c r="C161" s="1">
        <v>45813.632581018501</v>
      </c>
      <c r="D161" s="3" t="s">
        <v>32</v>
      </c>
      <c r="E161" s="3" t="s">
        <v>15</v>
      </c>
      <c r="F161" s="3"/>
      <c r="G161" s="3"/>
      <c r="H161" s="3" t="e">
        <f>VLOOKUP(G161,Produtos!A:B,2,FALSE)</f>
        <v>#N/A</v>
      </c>
      <c r="I161" s="3"/>
      <c r="J1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2" spans="1:10" x14ac:dyDescent="0.25">
      <c r="A162">
        <v>161</v>
      </c>
      <c r="B162" s="1">
        <v>45814.146932870397</v>
      </c>
      <c r="C162" s="1">
        <v>45814.148784722202</v>
      </c>
      <c r="D162" s="3" t="s">
        <v>28</v>
      </c>
      <c r="E162" s="3" t="s">
        <v>15</v>
      </c>
      <c r="F162" s="3"/>
      <c r="G162" s="3"/>
      <c r="H162" s="3" t="e">
        <f>VLOOKUP(G162,Produtos!A:B,2,FALSE)</f>
        <v>#N/A</v>
      </c>
      <c r="I162" s="3" t="s">
        <v>495</v>
      </c>
      <c r="J1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3" spans="1:10" x14ac:dyDescent="0.25">
      <c r="A163">
        <v>162</v>
      </c>
      <c r="B163" s="1">
        <v>45814.148993055598</v>
      </c>
      <c r="C163" s="1">
        <v>45814.150787036997</v>
      </c>
      <c r="D163" s="3" t="s">
        <v>28</v>
      </c>
      <c r="E163" s="3" t="s">
        <v>21</v>
      </c>
      <c r="F163" s="3"/>
      <c r="G163" s="3"/>
      <c r="H163" s="3" t="e">
        <f>VLOOKUP(G163,Produtos!A:B,2,FALSE)</f>
        <v>#N/A</v>
      </c>
      <c r="I163" s="3" t="s">
        <v>495</v>
      </c>
      <c r="J1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4" spans="1:10" x14ac:dyDescent="0.25">
      <c r="A164">
        <v>163</v>
      </c>
      <c r="B164" s="1">
        <v>45814.179097222201</v>
      </c>
      <c r="C164" s="1">
        <v>45814.181273148097</v>
      </c>
      <c r="D164" s="3" t="s">
        <v>27</v>
      </c>
      <c r="E164" s="3" t="s">
        <v>24</v>
      </c>
      <c r="F164" s="3"/>
      <c r="G164" s="2">
        <v>9091</v>
      </c>
      <c r="H164" s="2" t="str">
        <f>VLOOKUP(G164,Produtos!A:B,2,FALSE)</f>
        <v>TONICA ANTARCTICA LT 350ML SH C/12 NPAL</v>
      </c>
      <c r="I164" s="3" t="s">
        <v>493</v>
      </c>
      <c r="J1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5" spans="1:10" x14ac:dyDescent="0.25">
      <c r="A165">
        <v>164</v>
      </c>
      <c r="B165" s="1">
        <v>45814.182083333297</v>
      </c>
      <c r="C165" s="1">
        <v>45814.183495370402</v>
      </c>
      <c r="D165" s="3" t="s">
        <v>27</v>
      </c>
      <c r="E165" s="3" t="s">
        <v>24</v>
      </c>
      <c r="F165" s="3"/>
      <c r="G165" s="3"/>
      <c r="H165" s="3" t="e">
        <f>VLOOKUP(G165,Produtos!A:B,2,FALSE)</f>
        <v>#N/A</v>
      </c>
      <c r="I165" s="3" t="s">
        <v>504</v>
      </c>
      <c r="J1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6" spans="1:10" x14ac:dyDescent="0.25">
      <c r="A166">
        <v>165</v>
      </c>
      <c r="B166" s="1">
        <v>45814.387222222198</v>
      </c>
      <c r="C166" s="1">
        <v>45814.387824074103</v>
      </c>
      <c r="D166" s="3" t="s">
        <v>20</v>
      </c>
      <c r="E166" s="3" t="s">
        <v>24</v>
      </c>
      <c r="F166" s="3"/>
      <c r="G166" s="2">
        <v>9068</v>
      </c>
      <c r="H166" s="2" t="str">
        <f>VLOOKUP(G166,Produtos!A:B,2,FALSE)</f>
        <v>SKOL LATA 350ML SH C/12 NPAL</v>
      </c>
      <c r="I166" s="3" t="s">
        <v>493</v>
      </c>
      <c r="J1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7" spans="1:10" x14ac:dyDescent="0.25">
      <c r="A167">
        <v>166</v>
      </c>
      <c r="B167" s="1">
        <v>45814.3885069444</v>
      </c>
      <c r="C167" s="1">
        <v>45814.389027777797</v>
      </c>
      <c r="D167" s="3" t="s">
        <v>20</v>
      </c>
      <c r="E167" s="3" t="s">
        <v>24</v>
      </c>
      <c r="F167" s="3"/>
      <c r="G167" s="2">
        <v>9067</v>
      </c>
      <c r="H167" s="2" t="str">
        <f>VLOOKUP(G167,Produtos!A:B,2,FALSE)</f>
        <v>ANTARCTICA PILSEN LATA 350ML SH C/12 NPA</v>
      </c>
      <c r="I167" s="3" t="s">
        <v>493</v>
      </c>
      <c r="J1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8" spans="1:10" x14ac:dyDescent="0.25">
      <c r="A168">
        <v>167</v>
      </c>
      <c r="B168" s="1">
        <v>45814.388657407399</v>
      </c>
      <c r="C168" s="1">
        <v>45814.389212962997</v>
      </c>
      <c r="D168" s="3" t="s">
        <v>18</v>
      </c>
      <c r="E168" s="3" t="s">
        <v>24</v>
      </c>
      <c r="F168" s="3"/>
      <c r="G168" s="2">
        <v>9085</v>
      </c>
      <c r="H168" s="2" t="str">
        <f>VLOOKUP(G168,Produtos!A:B,2,FALSE)</f>
        <v>GUARANA CHP ANTARCT DIET LT350ML SHC/12</v>
      </c>
      <c r="I168" s="3" t="s">
        <v>493</v>
      </c>
      <c r="J1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69" spans="1:10" x14ac:dyDescent="0.25">
      <c r="A169">
        <v>168</v>
      </c>
      <c r="B169" s="1">
        <v>45814.392534722203</v>
      </c>
      <c r="C169" s="1">
        <v>45814.393090277801</v>
      </c>
      <c r="D169" s="3" t="s">
        <v>18</v>
      </c>
      <c r="E169" s="3" t="s">
        <v>21</v>
      </c>
      <c r="F169" s="3"/>
      <c r="G169" s="2">
        <v>9096</v>
      </c>
      <c r="H169" s="2" t="str">
        <f>VLOOKUP(G169,Produtos!A:B,2,FALSE)</f>
        <v>PEPSI COLA LATA 350ML SH C/12 NPAL</v>
      </c>
      <c r="I169" s="3" t="s">
        <v>493</v>
      </c>
      <c r="J1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0" spans="1:10" x14ac:dyDescent="0.25">
      <c r="A170">
        <v>169</v>
      </c>
      <c r="B170" s="1">
        <v>45814.3961921296</v>
      </c>
      <c r="C170" s="1">
        <v>45814.397245370397</v>
      </c>
      <c r="D170" s="3" t="s">
        <v>20</v>
      </c>
      <c r="E170" s="3" t="s">
        <v>24</v>
      </c>
      <c r="F170" s="3"/>
      <c r="G170" s="2">
        <v>14135</v>
      </c>
      <c r="H170" s="2" t="str">
        <f>VLOOKUP(G170,Produtos!A:B,2,FALSE)</f>
        <v>BUDWEISER LT 473ML SIX-PACK SH C/2 NPAL</v>
      </c>
      <c r="I170" s="3" t="s">
        <v>491</v>
      </c>
      <c r="J1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1" spans="1:10" x14ac:dyDescent="0.25">
      <c r="A171">
        <v>170</v>
      </c>
      <c r="B171" s="1">
        <v>45814.398020833301</v>
      </c>
      <c r="C171" s="1">
        <v>45814.39875</v>
      </c>
      <c r="D171" s="3" t="s">
        <v>20</v>
      </c>
      <c r="E171" s="3" t="s">
        <v>26</v>
      </c>
      <c r="F171" s="3"/>
      <c r="G171" s="2">
        <v>28137</v>
      </c>
      <c r="H171" s="2" t="str">
        <f>VLOOKUP(G171,Produtos!A:B,2,FALSE)</f>
        <v>SKOL BT CAIPIRINHA LT 269ML CX CA C/8 NP</v>
      </c>
      <c r="I171" s="3" t="s">
        <v>493</v>
      </c>
      <c r="J1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2" spans="1:10" x14ac:dyDescent="0.25">
      <c r="A172">
        <v>171</v>
      </c>
      <c r="B172" s="1">
        <v>45814.792465277802</v>
      </c>
      <c r="C172" s="1">
        <v>45814.793402777803</v>
      </c>
      <c r="D172" s="3" t="s">
        <v>29</v>
      </c>
      <c r="E172" s="3" t="s">
        <v>16</v>
      </c>
      <c r="F172" s="3"/>
      <c r="G172" s="3"/>
      <c r="H172" s="3" t="e">
        <f>VLOOKUP(G172,Produtos!A:B,2,FALSE)</f>
        <v>#N/A</v>
      </c>
      <c r="I172" s="3" t="s">
        <v>497</v>
      </c>
      <c r="J1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3" spans="1:10" x14ac:dyDescent="0.25">
      <c r="A173">
        <v>172</v>
      </c>
      <c r="B173" s="1">
        <v>45815.1618171296</v>
      </c>
      <c r="C173" s="1">
        <v>45815.163981481499</v>
      </c>
      <c r="D173" s="3" t="s">
        <v>27</v>
      </c>
      <c r="E173" s="3" t="s">
        <v>24</v>
      </c>
      <c r="F173" s="3"/>
      <c r="G173" s="2">
        <v>9069</v>
      </c>
      <c r="H173" s="2" t="str">
        <f>VLOOKUP(G173,Produtos!A:B,2,FALSE)</f>
        <v>BRAHMA CHOPP LATA 350ML SH C/12 NPAL</v>
      </c>
      <c r="I173" s="3" t="s">
        <v>493</v>
      </c>
      <c r="J1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4" spans="1:10" x14ac:dyDescent="0.25">
      <c r="A174">
        <v>173</v>
      </c>
      <c r="B174" s="1">
        <v>45815.166678240697</v>
      </c>
      <c r="C174" s="1">
        <v>45815.168356481503</v>
      </c>
      <c r="D174" s="3" t="s">
        <v>27</v>
      </c>
      <c r="E174" s="3" t="s">
        <v>24</v>
      </c>
      <c r="F174" s="3"/>
      <c r="G174" s="2">
        <v>9067</v>
      </c>
      <c r="H174" s="2" t="str">
        <f>VLOOKUP(G174,Produtos!A:B,2,FALSE)</f>
        <v>ANTARCTICA PILSEN LATA 350ML SH C/12 NPA</v>
      </c>
      <c r="I174" s="3" t="s">
        <v>493</v>
      </c>
      <c r="J1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5" spans="1:10" x14ac:dyDescent="0.25">
      <c r="A175">
        <v>174</v>
      </c>
      <c r="B175" s="1">
        <v>45815.252002314803</v>
      </c>
      <c r="C175" s="1">
        <v>45815.252569444398</v>
      </c>
      <c r="D175" s="3" t="s">
        <v>18</v>
      </c>
      <c r="E175" s="3" t="s">
        <v>24</v>
      </c>
      <c r="F175" s="3"/>
      <c r="G175" s="2">
        <v>9092</v>
      </c>
      <c r="H175" s="2" t="str">
        <f>VLOOKUP(G175,Produtos!A:B,2,FALSE)</f>
        <v>TONICA ANTARCTICA DIET LT350MLSHC/12 PAL</v>
      </c>
      <c r="I175" s="3" t="s">
        <v>493</v>
      </c>
      <c r="J1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6" spans="1:10" x14ac:dyDescent="0.25">
      <c r="A176">
        <v>175</v>
      </c>
      <c r="B176" s="1">
        <v>45815.252916666701</v>
      </c>
      <c r="C176" s="1">
        <v>45815.253506944398</v>
      </c>
      <c r="D176" s="3" t="s">
        <v>18</v>
      </c>
      <c r="E176" s="3" t="s">
        <v>24</v>
      </c>
      <c r="F176" s="3"/>
      <c r="G176" s="2">
        <v>1164</v>
      </c>
      <c r="H176" s="2" t="str">
        <f>VLOOKUP(G176,Produtos!A:B,2,FALSE)</f>
        <v>SUKITA UVA LATA 350ML SH C/12 NPAL</v>
      </c>
      <c r="I176" s="3" t="s">
        <v>493</v>
      </c>
      <c r="J1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7" spans="1:10" x14ac:dyDescent="0.25">
      <c r="A177">
        <v>176</v>
      </c>
      <c r="B177" s="1">
        <v>45815.256030092598</v>
      </c>
      <c r="C177" s="1">
        <v>45815.256574074097</v>
      </c>
      <c r="D177" s="3" t="s">
        <v>18</v>
      </c>
      <c r="E177" s="3" t="s">
        <v>24</v>
      </c>
      <c r="F177" s="3"/>
      <c r="G177" s="2">
        <v>9085</v>
      </c>
      <c r="H177" s="2" t="str">
        <f>VLOOKUP(G177,Produtos!A:B,2,FALSE)</f>
        <v>GUARANA CHP ANTARCT DIET LT350ML SHC/12</v>
      </c>
      <c r="I177" s="3" t="s">
        <v>493</v>
      </c>
      <c r="J1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8" spans="1:10" x14ac:dyDescent="0.25">
      <c r="A178">
        <v>177</v>
      </c>
      <c r="B178" s="1">
        <v>45815.261458333298</v>
      </c>
      <c r="C178" s="1">
        <v>45815.262094907397</v>
      </c>
      <c r="D178" s="3" t="s">
        <v>18</v>
      </c>
      <c r="E178" s="3" t="s">
        <v>26</v>
      </c>
      <c r="F178" s="3"/>
      <c r="G178" s="2">
        <v>17797</v>
      </c>
      <c r="H178" s="2" t="str">
        <f>VLOOKUP(G178,Produtos!A:B,2,FALSE)</f>
        <v>BRAHMA CHOPP LATA 350ML SH 18 MULTIPACK</v>
      </c>
      <c r="I178" s="3" t="s">
        <v>493</v>
      </c>
      <c r="J1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79" spans="1:10" x14ac:dyDescent="0.25">
      <c r="A179">
        <v>178</v>
      </c>
      <c r="B179" s="1">
        <v>45815.262685185196</v>
      </c>
      <c r="C179" s="1">
        <v>45815.263298611098</v>
      </c>
      <c r="D179" s="3" t="s">
        <v>18</v>
      </c>
      <c r="E179" s="3" t="s">
        <v>26</v>
      </c>
      <c r="F179" s="3"/>
      <c r="G179" s="2">
        <v>21119</v>
      </c>
      <c r="H179" s="2" t="str">
        <f>VLOOKUP(G179,Produtos!A:B,2,FALSE)</f>
        <v>SKOL BEATS GT LT 269ML CX CAR C/8</v>
      </c>
      <c r="I179" s="3" t="s">
        <v>493</v>
      </c>
      <c r="J1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0" spans="1:10" x14ac:dyDescent="0.25">
      <c r="A180">
        <v>179</v>
      </c>
      <c r="B180" s="1">
        <v>45815.2637384259</v>
      </c>
      <c r="C180" s="1">
        <v>45815.264282407399</v>
      </c>
      <c r="D180" s="3" t="s">
        <v>20</v>
      </c>
      <c r="E180" s="3" t="s">
        <v>24</v>
      </c>
      <c r="F180" s="3"/>
      <c r="G180" s="2">
        <v>9067</v>
      </c>
      <c r="H180" s="2" t="str">
        <f>VLOOKUP(G180,Produtos!A:B,2,FALSE)</f>
        <v>ANTARCTICA PILSEN LATA 350ML SH C/12 NPA</v>
      </c>
      <c r="I180" s="3" t="s">
        <v>493</v>
      </c>
      <c r="J1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1" spans="1:10" x14ac:dyDescent="0.25">
      <c r="A181">
        <v>180</v>
      </c>
      <c r="B181" s="1">
        <v>45815.266539351796</v>
      </c>
      <c r="C181" s="1">
        <v>45815.267129629603</v>
      </c>
      <c r="D181" s="3" t="s">
        <v>20</v>
      </c>
      <c r="E181" s="3" t="s">
        <v>24</v>
      </c>
      <c r="F181" s="3"/>
      <c r="G181" s="2">
        <v>12948</v>
      </c>
      <c r="H181" s="2" t="str">
        <f>VLOOKUP(G181,Produtos!A:B,2,FALSE)</f>
        <v>BRAHMA CHOPP ZERO LATA 350 SH CX C12 NPA</v>
      </c>
      <c r="I181" s="3" t="s">
        <v>500</v>
      </c>
      <c r="J1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2" spans="1:10" x14ac:dyDescent="0.25">
      <c r="A182">
        <v>181</v>
      </c>
      <c r="B182" s="1">
        <v>45815.268437500003</v>
      </c>
      <c r="C182" s="1">
        <v>45815.269201388903</v>
      </c>
      <c r="D182" s="3" t="s">
        <v>18</v>
      </c>
      <c r="E182" s="3" t="s">
        <v>21</v>
      </c>
      <c r="F182" s="3"/>
      <c r="G182" s="2">
        <v>13061</v>
      </c>
      <c r="H182" s="2" t="str">
        <f>VLOOKUP(G182,Produtos!A:B,2,FALSE)</f>
        <v>H2OH LIMONETO PET500 SH C/12 NP</v>
      </c>
      <c r="I182" s="3" t="s">
        <v>493</v>
      </c>
      <c r="J1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3" spans="1:10" x14ac:dyDescent="0.25">
      <c r="A183">
        <v>182</v>
      </c>
      <c r="B183" s="1">
        <v>45815.269942129598</v>
      </c>
      <c r="C183" s="1">
        <v>45815.270624999997</v>
      </c>
      <c r="D183" s="3" t="s">
        <v>20</v>
      </c>
      <c r="E183" s="3" t="s">
        <v>26</v>
      </c>
      <c r="F183" s="3"/>
      <c r="G183" s="2">
        <v>21020</v>
      </c>
      <c r="H183" s="2" t="str">
        <f>VLOOKUP(G183,Produtos!A:B,2,FALSE)</f>
        <v>BUDWEISER LT SLEEK 350ML CX CART C12</v>
      </c>
      <c r="I183" s="3" t="s">
        <v>493</v>
      </c>
      <c r="J1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4" spans="1:10" x14ac:dyDescent="0.25">
      <c r="A184">
        <v>183</v>
      </c>
      <c r="B184" s="1">
        <v>45815.374849537002</v>
      </c>
      <c r="C184" s="1">
        <v>45815.375636574099</v>
      </c>
      <c r="D184" s="3" t="s">
        <v>20</v>
      </c>
      <c r="E184" s="3" t="s">
        <v>34</v>
      </c>
      <c r="F184" s="3"/>
      <c r="G184" s="2">
        <v>9069</v>
      </c>
      <c r="H184" s="2" t="str">
        <f>VLOOKUP(G184,Produtos!A:B,2,FALSE)</f>
        <v>BRAHMA CHOPP LATA 350ML SH C/12 NPAL</v>
      </c>
      <c r="I184" s="3" t="s">
        <v>493</v>
      </c>
      <c r="J1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5" spans="1:10" x14ac:dyDescent="0.25">
      <c r="A185">
        <v>184</v>
      </c>
      <c r="B185" s="1">
        <v>45817.338414351798</v>
      </c>
      <c r="C185" s="1">
        <v>45817.339687500003</v>
      </c>
      <c r="D185" s="3" t="s">
        <v>20</v>
      </c>
      <c r="E185" s="3" t="s">
        <v>24</v>
      </c>
      <c r="F185" s="3"/>
      <c r="G185" s="2">
        <v>1898</v>
      </c>
      <c r="H185" s="2" t="str">
        <f>VLOOKUP(G185,Produtos!A:B,2,FALSE)</f>
        <v>BRAHMA CHOPP LT 269ML SH C/15 NPAL</v>
      </c>
      <c r="I185" s="3" t="s">
        <v>494</v>
      </c>
      <c r="J1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6" spans="1:10" x14ac:dyDescent="0.25">
      <c r="A186">
        <v>185</v>
      </c>
      <c r="B186" s="1">
        <v>45817.342997685198</v>
      </c>
      <c r="C186" s="1">
        <v>45817.343564814801</v>
      </c>
      <c r="D186" s="3" t="s">
        <v>20</v>
      </c>
      <c r="E186" s="3" t="s">
        <v>24</v>
      </c>
      <c r="F186" s="3"/>
      <c r="G186" s="2">
        <v>9083</v>
      </c>
      <c r="H186" s="2" t="str">
        <f>VLOOKUP(G186,Produtos!A:B,2,FALSE)</f>
        <v>SKOL LT 473ML SH C/12 NPAL</v>
      </c>
      <c r="I186" s="3" t="s">
        <v>500</v>
      </c>
      <c r="J1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7" spans="1:10" x14ac:dyDescent="0.25">
      <c r="A187">
        <v>186</v>
      </c>
      <c r="B187" s="1">
        <v>45817.3452777778</v>
      </c>
      <c r="C187" s="1">
        <v>45817.345752314803</v>
      </c>
      <c r="D187" s="3" t="s">
        <v>20</v>
      </c>
      <c r="E187" s="3" t="s">
        <v>26</v>
      </c>
      <c r="F187" s="3"/>
      <c r="G187" s="2">
        <v>9067</v>
      </c>
      <c r="H187" s="2" t="str">
        <f>VLOOKUP(G187,Produtos!A:B,2,FALSE)</f>
        <v>ANTARCTICA PILSEN LATA 350ML SH C/12 NPA</v>
      </c>
      <c r="I187" s="3" t="s">
        <v>493</v>
      </c>
      <c r="J1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8" spans="1:10" x14ac:dyDescent="0.25">
      <c r="A188">
        <v>187</v>
      </c>
      <c r="B188" s="1">
        <v>45817.347638888903</v>
      </c>
      <c r="C188" s="1">
        <v>45817.348310185203</v>
      </c>
      <c r="D188" s="3" t="s">
        <v>20</v>
      </c>
      <c r="E188" s="3" t="s">
        <v>21</v>
      </c>
      <c r="F188" s="3"/>
      <c r="G188" s="2">
        <v>9069</v>
      </c>
      <c r="H188" s="2" t="str">
        <f>VLOOKUP(G188,Produtos!A:B,2,FALSE)</f>
        <v>BRAHMA CHOPP LATA 350ML SH C/12 NPAL</v>
      </c>
      <c r="I188" s="3" t="s">
        <v>493</v>
      </c>
      <c r="J1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89" spans="1:10" x14ac:dyDescent="0.25">
      <c r="A189">
        <v>188</v>
      </c>
      <c r="B189" s="1">
        <v>45817.349791666697</v>
      </c>
      <c r="C189" s="1">
        <v>45817.350405092599</v>
      </c>
      <c r="D189" s="3" t="s">
        <v>20</v>
      </c>
      <c r="E189" s="3" t="s">
        <v>26</v>
      </c>
      <c r="F189" s="3"/>
      <c r="G189" s="2">
        <v>6905</v>
      </c>
      <c r="H189" s="2" t="str">
        <f>VLOOKUP(G189,Produtos!A:B,2,FALSE)</f>
        <v>AGUA M F DA ILHA C/G PVC 500ML CAIXA C/1</v>
      </c>
      <c r="I189" s="3" t="s">
        <v>492</v>
      </c>
      <c r="J1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0" spans="1:10" x14ac:dyDescent="0.25">
      <c r="A190">
        <v>189</v>
      </c>
      <c r="B190" s="1">
        <v>45817.3517013889</v>
      </c>
      <c r="C190" s="1">
        <v>45817.352349537003</v>
      </c>
      <c r="D190" s="3" t="s">
        <v>20</v>
      </c>
      <c r="E190" s="3" t="s">
        <v>21</v>
      </c>
      <c r="F190" s="3"/>
      <c r="G190" s="2">
        <v>9091</v>
      </c>
      <c r="H190" s="2" t="str">
        <f>VLOOKUP(G190,Produtos!A:B,2,FALSE)</f>
        <v>TONICA ANTARCTICA LT 350ML SH C/12 NPAL</v>
      </c>
      <c r="I190" s="3" t="s">
        <v>491</v>
      </c>
      <c r="J1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1" spans="1:10" x14ac:dyDescent="0.25">
      <c r="A191">
        <v>190</v>
      </c>
      <c r="B191" s="1">
        <v>45817.354710648098</v>
      </c>
      <c r="C191" s="1">
        <v>45817.355381944399</v>
      </c>
      <c r="D191" s="3" t="s">
        <v>20</v>
      </c>
      <c r="E191" s="3" t="s">
        <v>21</v>
      </c>
      <c r="F191" s="3"/>
      <c r="G191" s="2">
        <v>17797</v>
      </c>
      <c r="H191" s="2" t="str">
        <f>VLOOKUP(G191,Produtos!A:B,2,FALSE)</f>
        <v>BRAHMA CHOPP LATA 350ML SH 18 MULTIPACK</v>
      </c>
      <c r="I191" s="3" t="s">
        <v>491</v>
      </c>
      <c r="J1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2" spans="1:10" x14ac:dyDescent="0.25">
      <c r="A192">
        <v>191</v>
      </c>
      <c r="B192" s="1">
        <v>45817.3581134259</v>
      </c>
      <c r="C192" s="1">
        <v>45817.358715277798</v>
      </c>
      <c r="D192" s="3" t="s">
        <v>20</v>
      </c>
      <c r="E192" s="3" t="s">
        <v>34</v>
      </c>
      <c r="F192" s="3"/>
      <c r="G192" s="2">
        <v>504</v>
      </c>
      <c r="H192" s="2" t="str">
        <f>VLOOKUP(G192,Produtos!A:B,2,FALSE)</f>
        <v>PEPSI COLA PET 2L CAIXA C/6</v>
      </c>
      <c r="I192" s="3" t="s">
        <v>492</v>
      </c>
      <c r="J1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3" spans="1:10" x14ac:dyDescent="0.25">
      <c r="A193">
        <v>192</v>
      </c>
      <c r="B193" s="1">
        <v>45817.619270833296</v>
      </c>
      <c r="C193" s="1">
        <v>45817.621574074103</v>
      </c>
      <c r="D193" s="3" t="s">
        <v>22</v>
      </c>
      <c r="E193" s="3" t="s">
        <v>16</v>
      </c>
      <c r="F193" s="3"/>
      <c r="G193" s="3"/>
      <c r="H193" s="3" t="e">
        <f>VLOOKUP(G193,Produtos!A:B,2,FALSE)</f>
        <v>#N/A</v>
      </c>
      <c r="I193" s="3" t="s">
        <v>501</v>
      </c>
      <c r="J1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4" spans="1:10" x14ac:dyDescent="0.25">
      <c r="A194">
        <v>193</v>
      </c>
      <c r="B194" s="1">
        <v>45818.3512037037</v>
      </c>
      <c r="C194" s="1">
        <v>45818.352164351803</v>
      </c>
      <c r="D194" s="3" t="s">
        <v>18</v>
      </c>
      <c r="E194" s="3" t="s">
        <v>24</v>
      </c>
      <c r="F194" s="3"/>
      <c r="G194" s="2">
        <v>9093</v>
      </c>
      <c r="H194" s="2" t="str">
        <f>VLOOKUP(G194,Produtos!A:B,2,FALSE)</f>
        <v>PEPSI TWIST LATA 350ML SH C/12 NPAL</v>
      </c>
      <c r="I194" s="3" t="s">
        <v>493</v>
      </c>
      <c r="J1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5" spans="1:10" x14ac:dyDescent="0.25">
      <c r="A195">
        <v>194</v>
      </c>
      <c r="B195" s="1">
        <v>45818.352546296301</v>
      </c>
      <c r="C195" s="1">
        <v>45818.3532291667</v>
      </c>
      <c r="D195" s="3" t="s">
        <v>20</v>
      </c>
      <c r="E195" s="3" t="s">
        <v>24</v>
      </c>
      <c r="F195" s="3"/>
      <c r="G195" s="2">
        <v>9071</v>
      </c>
      <c r="H195" s="2" t="str">
        <f>VLOOKUP(G195,Produtos!A:B,2,FALSE)</f>
        <v>CARACU LATA 350ML SH C/12 NPAL</v>
      </c>
      <c r="I195" s="3" t="s">
        <v>493</v>
      </c>
      <c r="J1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6" spans="1:10" x14ac:dyDescent="0.25">
      <c r="A196">
        <v>195</v>
      </c>
      <c r="B196" s="1">
        <v>45818.353437500002</v>
      </c>
      <c r="C196" s="1">
        <v>45818.353935185201</v>
      </c>
      <c r="D196" s="3" t="s">
        <v>18</v>
      </c>
      <c r="E196" s="3" t="s">
        <v>24</v>
      </c>
      <c r="F196" s="3"/>
      <c r="G196" s="2">
        <v>32969</v>
      </c>
      <c r="H196" s="2" t="str">
        <f>VLOOKUP(G196,Produtos!A:B,2,FALSE)</f>
        <v>RED BULL S MOR E PESSEGO LT 250ML FOUR P</v>
      </c>
      <c r="I196" s="3" t="s">
        <v>493</v>
      </c>
      <c r="J1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7" spans="1:10" x14ac:dyDescent="0.25">
      <c r="A197">
        <v>196</v>
      </c>
      <c r="B197" s="1">
        <v>45818.357060185197</v>
      </c>
      <c r="C197" s="1">
        <v>45818.357627314799</v>
      </c>
      <c r="D197" s="3" t="s">
        <v>18</v>
      </c>
      <c r="E197" s="3" t="s">
        <v>24</v>
      </c>
      <c r="F197" s="3"/>
      <c r="G197" s="2">
        <v>9069</v>
      </c>
      <c r="H197" s="2" t="str">
        <f>VLOOKUP(G197,Produtos!A:B,2,FALSE)</f>
        <v>BRAHMA CHOPP LATA 350ML SH C/12 NPAL</v>
      </c>
      <c r="I197" s="3" t="s">
        <v>493</v>
      </c>
      <c r="J1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8" spans="1:10" x14ac:dyDescent="0.25">
      <c r="A198">
        <v>197</v>
      </c>
      <c r="B198" s="1">
        <v>45818.357499999998</v>
      </c>
      <c r="C198" s="1">
        <v>45818.358263888898</v>
      </c>
      <c r="D198" s="3" t="s">
        <v>20</v>
      </c>
      <c r="E198" s="3" t="s">
        <v>24</v>
      </c>
      <c r="F198" s="3"/>
      <c r="G198" s="2">
        <v>9067</v>
      </c>
      <c r="H198" s="2" t="str">
        <f>VLOOKUP(G198,Produtos!A:B,2,FALSE)</f>
        <v>ANTARCTICA PILSEN LATA 350ML SH C/12 NPA</v>
      </c>
      <c r="I198" s="3" t="s">
        <v>491</v>
      </c>
      <c r="J1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199" spans="1:10" x14ac:dyDescent="0.25">
      <c r="A199">
        <v>198</v>
      </c>
      <c r="B199" s="1">
        <v>45818.359594907401</v>
      </c>
      <c r="C199" s="1">
        <v>45818.3601851852</v>
      </c>
      <c r="D199" s="3" t="s">
        <v>18</v>
      </c>
      <c r="E199" s="3" t="s">
        <v>24</v>
      </c>
      <c r="F199" s="3"/>
      <c r="G199" s="2">
        <v>9091</v>
      </c>
      <c r="H199" s="2" t="str">
        <f>VLOOKUP(G199,Produtos!A:B,2,FALSE)</f>
        <v>TONICA ANTARCTICA LT 350ML SH C/12 NPAL</v>
      </c>
      <c r="I199" s="3" t="s">
        <v>493</v>
      </c>
      <c r="J1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0" spans="1:10" x14ac:dyDescent="0.25">
      <c r="A200">
        <v>199</v>
      </c>
      <c r="B200" s="1">
        <v>45818.360312500001</v>
      </c>
      <c r="C200" s="1">
        <v>45818.360810185201</v>
      </c>
      <c r="D200" s="3" t="s">
        <v>18</v>
      </c>
      <c r="E200" s="3" t="s">
        <v>24</v>
      </c>
      <c r="F200" s="3"/>
      <c r="G200" s="2">
        <v>33818</v>
      </c>
      <c r="H200" s="2" t="str">
        <f>VLOOKUP(G200,Produtos!A:B,2,FALSE)</f>
        <v>ORIGINAL LT 350ML SH C/12 NP MULTIPACK</v>
      </c>
      <c r="I200" s="3" t="s">
        <v>493</v>
      </c>
      <c r="J2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1" spans="1:10" x14ac:dyDescent="0.25">
      <c r="A201">
        <v>200</v>
      </c>
      <c r="B201" s="1">
        <v>45818.4525810185</v>
      </c>
      <c r="C201" s="1">
        <v>45818.453148148103</v>
      </c>
      <c r="D201" s="3" t="s">
        <v>18</v>
      </c>
      <c r="E201" s="3" t="s">
        <v>24</v>
      </c>
      <c r="F201" s="3"/>
      <c r="G201" s="2">
        <v>19225</v>
      </c>
      <c r="H201" s="2" t="str">
        <f>VLOOKUP(G201,Produtos!A:B,2,FALSE)</f>
        <v>RED BULL BR LATA 250ML CAIXA C/24</v>
      </c>
      <c r="I201" s="3" t="s">
        <v>493</v>
      </c>
      <c r="J2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2" spans="1:10" x14ac:dyDescent="0.25">
      <c r="A202">
        <v>201</v>
      </c>
      <c r="B202" s="1">
        <v>45818.453182870398</v>
      </c>
      <c r="C202" s="1">
        <v>45818.453877314802</v>
      </c>
      <c r="D202" s="3" t="s">
        <v>18</v>
      </c>
      <c r="E202" s="3" t="s">
        <v>24</v>
      </c>
      <c r="F202" s="3"/>
      <c r="G202" s="2">
        <v>33734</v>
      </c>
      <c r="H202" s="2" t="str">
        <f>VLOOKUP(G202,Produtos!A:B,2,FALSE)</f>
        <v>BEATS RED MIX LT 269ML SH C/8</v>
      </c>
      <c r="I202" s="3" t="s">
        <v>493</v>
      </c>
      <c r="J2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3" spans="1:10" x14ac:dyDescent="0.25">
      <c r="A203">
        <v>202</v>
      </c>
      <c r="B203" s="1">
        <v>45818.6401273148</v>
      </c>
      <c r="C203" s="1">
        <v>45818.644004629597</v>
      </c>
      <c r="D203" s="3" t="s">
        <v>32</v>
      </c>
      <c r="E203" s="3" t="s">
        <v>19</v>
      </c>
      <c r="F203" s="3"/>
      <c r="G203" s="3"/>
      <c r="H203" s="3" t="e">
        <f>VLOOKUP(G203,Produtos!A:B,2,FALSE)</f>
        <v>#N/A</v>
      </c>
      <c r="I203" s="3"/>
      <c r="J2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4" spans="1:10" x14ac:dyDescent="0.25">
      <c r="A204">
        <v>203</v>
      </c>
      <c r="B204" s="1">
        <v>45819.185740740701</v>
      </c>
      <c r="C204" s="1">
        <v>45819.1866435185</v>
      </c>
      <c r="D204" s="3" t="s">
        <v>28</v>
      </c>
      <c r="E204" s="3" t="s">
        <v>26</v>
      </c>
      <c r="F204" s="3"/>
      <c r="G204" s="3"/>
      <c r="H204" s="3" t="e">
        <f>VLOOKUP(G204,Produtos!A:B,2,FALSE)</f>
        <v>#N/A</v>
      </c>
      <c r="I204" s="3" t="s">
        <v>495</v>
      </c>
      <c r="J2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5" spans="1:10" x14ac:dyDescent="0.25">
      <c r="A205">
        <v>204</v>
      </c>
      <c r="B205" s="1">
        <v>45819.187210648102</v>
      </c>
      <c r="C205" s="1">
        <v>45819.187847222202</v>
      </c>
      <c r="D205" s="3" t="s">
        <v>28</v>
      </c>
      <c r="E205" s="3" t="s">
        <v>26</v>
      </c>
      <c r="F205" s="3"/>
      <c r="G205" s="3"/>
      <c r="H205" s="3" t="e">
        <f>VLOOKUP(G205,Produtos!A:B,2,FALSE)</f>
        <v>#N/A</v>
      </c>
      <c r="I205" s="3" t="s">
        <v>495</v>
      </c>
      <c r="J2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6" spans="1:10" x14ac:dyDescent="0.25">
      <c r="A206">
        <v>205</v>
      </c>
      <c r="B206" s="1">
        <v>45819.216493055603</v>
      </c>
      <c r="C206" s="1">
        <v>45819.218009259297</v>
      </c>
      <c r="D206" s="3" t="s">
        <v>27</v>
      </c>
      <c r="E206" s="3" t="s">
        <v>24</v>
      </c>
      <c r="F206" s="3"/>
      <c r="G206" s="3"/>
      <c r="H206" s="3" t="e">
        <f>VLOOKUP(G206,Produtos!A:B,2,FALSE)</f>
        <v>#N/A</v>
      </c>
      <c r="I206" s="3" t="s">
        <v>495</v>
      </c>
      <c r="J2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7" spans="1:10" x14ac:dyDescent="0.25">
      <c r="A207">
        <v>206</v>
      </c>
      <c r="B207" s="1">
        <v>45819.218067129601</v>
      </c>
      <c r="C207" s="1">
        <v>45819.219143518501</v>
      </c>
      <c r="D207" s="3" t="s">
        <v>27</v>
      </c>
      <c r="E207" s="3" t="s">
        <v>24</v>
      </c>
      <c r="F207" s="3"/>
      <c r="G207" s="3"/>
      <c r="H207" s="3" t="e">
        <f>VLOOKUP(G207,Produtos!A:B,2,FALSE)</f>
        <v>#N/A</v>
      </c>
      <c r="I207" s="3" t="s">
        <v>495</v>
      </c>
      <c r="J2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8" spans="1:10" x14ac:dyDescent="0.25">
      <c r="A208">
        <v>207</v>
      </c>
      <c r="B208" s="1">
        <v>45819.219189814801</v>
      </c>
      <c r="C208" s="1">
        <v>45819.220347222203</v>
      </c>
      <c r="D208" s="3" t="s">
        <v>27</v>
      </c>
      <c r="E208" s="3" t="s">
        <v>24</v>
      </c>
      <c r="F208" s="3"/>
      <c r="G208" s="2">
        <v>7983</v>
      </c>
      <c r="H208" s="2" t="str">
        <f>VLOOKUP(G208,Produtos!A:B,2,FALSE)</f>
        <v>GATORADE MORANGO MARACUJA PET500ML SIXPA</v>
      </c>
      <c r="I208" s="3" t="s">
        <v>495</v>
      </c>
      <c r="J2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09" spans="1:10" x14ac:dyDescent="0.25">
      <c r="A209">
        <v>208</v>
      </c>
      <c r="B209" s="1">
        <v>45819.369027777801</v>
      </c>
      <c r="C209" s="1">
        <v>45819.370625000003</v>
      </c>
      <c r="D209" s="3" t="s">
        <v>20</v>
      </c>
      <c r="E209" s="3" t="s">
        <v>21</v>
      </c>
      <c r="F209" s="3"/>
      <c r="G209" s="2">
        <v>9320</v>
      </c>
      <c r="H209" s="2" t="str">
        <f>VLOOKUP(G209,Produtos!A:B,2,FALSE)</f>
        <v>BRAHMA CHOPP LT 473ML SH C/12 NPAL</v>
      </c>
      <c r="I209" s="3" t="s">
        <v>500</v>
      </c>
      <c r="J2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0" spans="1:10" x14ac:dyDescent="0.25">
      <c r="A210">
        <v>209</v>
      </c>
      <c r="B210" s="1">
        <v>45819.371597222198</v>
      </c>
      <c r="C210" s="1">
        <v>45819.372175925899</v>
      </c>
      <c r="D210" s="3" t="s">
        <v>20</v>
      </c>
      <c r="E210" s="3" t="s">
        <v>24</v>
      </c>
      <c r="F210" s="3"/>
      <c r="G210" s="2">
        <v>31272</v>
      </c>
      <c r="H210" s="2" t="str">
        <f>VLOOKUP(G210,Produtos!A:B,2,FALSE)</f>
        <v>FUSION LT 473ML SH C/12 NPAL</v>
      </c>
      <c r="I210" s="3" t="s">
        <v>493</v>
      </c>
      <c r="J2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1" spans="1:10" x14ac:dyDescent="0.25">
      <c r="A211">
        <v>210</v>
      </c>
      <c r="B211" s="1">
        <v>45819.373043981497</v>
      </c>
      <c r="C211" s="1">
        <v>45819.373969907399</v>
      </c>
      <c r="D211" s="3" t="s">
        <v>20</v>
      </c>
      <c r="E211" s="3" t="s">
        <v>24</v>
      </c>
      <c r="F211" s="3"/>
      <c r="G211" s="2">
        <v>9096</v>
      </c>
      <c r="H211" s="2" t="str">
        <f>VLOOKUP(G211,Produtos!A:B,2,FALSE)</f>
        <v>PEPSI COLA LATA 350ML SH C/12 NPAL</v>
      </c>
      <c r="I211" s="3" t="s">
        <v>491</v>
      </c>
      <c r="J2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2" spans="1:10" x14ac:dyDescent="0.25">
      <c r="A212">
        <v>211</v>
      </c>
      <c r="B212" s="1">
        <v>45819.375208333302</v>
      </c>
      <c r="C212" s="1">
        <v>45819.376041666699</v>
      </c>
      <c r="D212" s="3" t="s">
        <v>20</v>
      </c>
      <c r="E212" s="3" t="s">
        <v>24</v>
      </c>
      <c r="F212" s="3"/>
      <c r="G212" s="2">
        <v>9091</v>
      </c>
      <c r="H212" s="2" t="str">
        <f>VLOOKUP(G212,Produtos!A:B,2,FALSE)</f>
        <v>TONICA ANTARCTICA LT 350ML SH C/12 NPAL</v>
      </c>
      <c r="I212" s="3" t="s">
        <v>493</v>
      </c>
      <c r="J2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3" spans="1:10" x14ac:dyDescent="0.25">
      <c r="A213">
        <v>212</v>
      </c>
      <c r="B213" s="1">
        <v>45819.376296296301</v>
      </c>
      <c r="C213" s="1">
        <v>45819.376851851797</v>
      </c>
      <c r="D213" s="3" t="s">
        <v>20</v>
      </c>
      <c r="E213" s="3" t="s">
        <v>24</v>
      </c>
      <c r="F213" s="3"/>
      <c r="G213" s="2">
        <v>21441</v>
      </c>
      <c r="H213" s="2" t="str">
        <f>VLOOKUP(G213,Produtos!A:B,2,FALSE)</f>
        <v>SUKITA LIMAO PET 2L CAIXA C/6</v>
      </c>
      <c r="I213" s="3" t="s">
        <v>491</v>
      </c>
      <c r="J2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4" spans="1:10" x14ac:dyDescent="0.25">
      <c r="A214">
        <v>213</v>
      </c>
      <c r="B214" s="1">
        <v>45819.3780555556</v>
      </c>
      <c r="C214" s="1">
        <v>45819.378645833298</v>
      </c>
      <c r="D214" s="3" t="s">
        <v>20</v>
      </c>
      <c r="E214" s="3" t="s">
        <v>24</v>
      </c>
      <c r="F214" s="3"/>
      <c r="G214" s="2">
        <v>20498</v>
      </c>
      <c r="H214" s="2" t="str">
        <f>VLOOKUP(G214,Produtos!A:B,2,FALSE)</f>
        <v>BRAHMA DUPLO MALTE LT SLEEK 350ML SH C12</v>
      </c>
      <c r="I214" s="3" t="s">
        <v>493</v>
      </c>
      <c r="J2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5" spans="1:10" x14ac:dyDescent="0.25">
      <c r="A215">
        <v>214</v>
      </c>
      <c r="B215" s="1">
        <v>45819.418599536999</v>
      </c>
      <c r="C215" s="1">
        <v>45819.419212963003</v>
      </c>
      <c r="D215" s="3" t="s">
        <v>18</v>
      </c>
      <c r="E215" s="3" t="s">
        <v>24</v>
      </c>
      <c r="F215" s="3"/>
      <c r="G215" s="2">
        <v>1898</v>
      </c>
      <c r="H215" s="2" t="str">
        <f>VLOOKUP(G215,Produtos!A:B,2,FALSE)</f>
        <v>BRAHMA CHOPP LT 269ML SH C/15 NPAL</v>
      </c>
      <c r="I215" s="3" t="s">
        <v>493</v>
      </c>
      <c r="J2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6" spans="1:10" x14ac:dyDescent="0.25">
      <c r="A216">
        <v>215</v>
      </c>
      <c r="B216" s="1">
        <v>45819.418969907398</v>
      </c>
      <c r="C216" s="1">
        <v>45819.419641203698</v>
      </c>
      <c r="D216" s="3" t="s">
        <v>20</v>
      </c>
      <c r="E216" s="3" t="s">
        <v>26</v>
      </c>
      <c r="F216" s="3"/>
      <c r="G216" s="2">
        <v>9068</v>
      </c>
      <c r="H216" s="2" t="str">
        <f>VLOOKUP(G216,Produtos!A:B,2,FALSE)</f>
        <v>SKOL LATA 350ML SH C/12 NPAL</v>
      </c>
      <c r="I216" s="3" t="s">
        <v>500</v>
      </c>
      <c r="J2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7" spans="1:10" x14ac:dyDescent="0.25">
      <c r="A217">
        <v>216</v>
      </c>
      <c r="B217" s="1">
        <v>45819.419236111098</v>
      </c>
      <c r="C217" s="1">
        <v>45819.419872685197</v>
      </c>
      <c r="D217" s="3" t="s">
        <v>18</v>
      </c>
      <c r="E217" s="3" t="s">
        <v>24</v>
      </c>
      <c r="F217" s="3"/>
      <c r="G217" s="3">
        <v>32969</v>
      </c>
      <c r="H217" s="3" t="str">
        <f>VLOOKUP(G217,Produtos!A:B,2,FALSE)</f>
        <v>RED BULL S MOR E PESSEGO LT 250ML FOUR P</v>
      </c>
      <c r="I217" s="3" t="s">
        <v>493</v>
      </c>
      <c r="J2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8" spans="1:10" x14ac:dyDescent="0.25">
      <c r="A218">
        <v>217</v>
      </c>
      <c r="B218" s="1">
        <v>45819.4198958333</v>
      </c>
      <c r="C218" s="1">
        <v>45819.420451388898</v>
      </c>
      <c r="D218" s="3" t="s">
        <v>18</v>
      </c>
      <c r="E218" s="3" t="s">
        <v>24</v>
      </c>
      <c r="F218" s="3"/>
      <c r="G218" s="2">
        <v>19231</v>
      </c>
      <c r="H218" s="2" t="str">
        <f>VLOOKUP(G218,Produtos!A:B,2,FALSE)</f>
        <v>RED BULL SUGAR FREE LATA 250ML FOUR PACK</v>
      </c>
      <c r="I218" s="3" t="s">
        <v>493</v>
      </c>
      <c r="J2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19" spans="1:10" x14ac:dyDescent="0.25">
      <c r="A219">
        <v>218</v>
      </c>
      <c r="B219" s="1">
        <v>45819.423333333303</v>
      </c>
      <c r="C219" s="1">
        <v>45819.424108796302</v>
      </c>
      <c r="D219" s="3" t="s">
        <v>20</v>
      </c>
      <c r="E219" s="3" t="s">
        <v>24</v>
      </c>
      <c r="F219" s="3"/>
      <c r="G219" s="2">
        <v>503</v>
      </c>
      <c r="H219" s="2" t="str">
        <f>VLOOKUP(G219,Produtos!A:B,2,FALSE)</f>
        <v>SUKITA PET 2L CAIXA C/6</v>
      </c>
      <c r="I219" s="3" t="s">
        <v>492</v>
      </c>
      <c r="J2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0" spans="1:10" x14ac:dyDescent="0.25">
      <c r="A220">
        <v>219</v>
      </c>
      <c r="B220" s="1">
        <v>45819.424942129597</v>
      </c>
      <c r="C220" s="1">
        <v>45819.425810185203</v>
      </c>
      <c r="D220" s="3" t="s">
        <v>18</v>
      </c>
      <c r="E220" s="3" t="s">
        <v>24</v>
      </c>
      <c r="F220" s="3"/>
      <c r="G220" s="2">
        <v>26462</v>
      </c>
      <c r="H220" s="2" t="str">
        <f>VLOOKUP(G220,Produtos!A:B,2,FALSE)</f>
        <v>ORIGINAL LT 473ML CX CARTAO C/12</v>
      </c>
      <c r="I220" s="3" t="s">
        <v>493</v>
      </c>
      <c r="J2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1" spans="1:10" x14ac:dyDescent="0.25">
      <c r="A221">
        <v>220</v>
      </c>
      <c r="B221" s="1">
        <v>45820.338043981501</v>
      </c>
      <c r="C221" s="1">
        <v>45820.338668981502</v>
      </c>
      <c r="D221" s="3" t="s">
        <v>20</v>
      </c>
      <c r="E221" s="3" t="s">
        <v>24</v>
      </c>
      <c r="F221" s="3"/>
      <c r="G221" s="2">
        <v>9067</v>
      </c>
      <c r="H221" s="2" t="str">
        <f>VLOOKUP(G221,Produtos!A:B,2,FALSE)</f>
        <v>ANTARCTICA PILSEN LATA 350ML SH C/12 NPA</v>
      </c>
      <c r="I221" s="3" t="s">
        <v>491</v>
      </c>
      <c r="J2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2" spans="1:10" x14ac:dyDescent="0.25">
      <c r="A222">
        <v>221</v>
      </c>
      <c r="B222" s="1">
        <v>45820.3415046296</v>
      </c>
      <c r="C222" s="1">
        <v>45820.342256944401</v>
      </c>
      <c r="D222" s="3" t="s">
        <v>20</v>
      </c>
      <c r="E222" s="3" t="s">
        <v>24</v>
      </c>
      <c r="F222" s="3"/>
      <c r="G222" s="2">
        <v>9071</v>
      </c>
      <c r="H222" s="2" t="str">
        <f>VLOOKUP(G222,Produtos!A:B,2,FALSE)</f>
        <v>CARACU LATA 350ML SH C/12 NPAL</v>
      </c>
      <c r="I222" s="3" t="s">
        <v>493</v>
      </c>
      <c r="J2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3" spans="1:10" x14ac:dyDescent="0.25">
      <c r="A223">
        <v>222</v>
      </c>
      <c r="B223" s="1">
        <v>45820.3429398148</v>
      </c>
      <c r="C223" s="1">
        <v>45820.343634259298</v>
      </c>
      <c r="D223" s="3" t="s">
        <v>20</v>
      </c>
      <c r="E223" s="3" t="s">
        <v>24</v>
      </c>
      <c r="F223" s="3"/>
      <c r="G223" s="2">
        <v>23216</v>
      </c>
      <c r="H223" s="2" t="str">
        <f>VLOOKUP(G223,Produtos!A:B,2,FALSE)</f>
        <v>PATAGONIA IPA LATA 473ML 6PACK CARTAO</v>
      </c>
      <c r="I223" s="3" t="s">
        <v>500</v>
      </c>
      <c r="J2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4" spans="1:10" x14ac:dyDescent="0.25">
      <c r="A224">
        <v>223</v>
      </c>
      <c r="B224" s="1">
        <v>45820.347152777802</v>
      </c>
      <c r="C224" s="1">
        <v>45820.347847222198</v>
      </c>
      <c r="D224" s="3" t="s">
        <v>20</v>
      </c>
      <c r="E224" s="3" t="s">
        <v>26</v>
      </c>
      <c r="F224" s="3"/>
      <c r="G224" s="2">
        <v>17797</v>
      </c>
      <c r="H224" s="2" t="str">
        <f>VLOOKUP(G224,Produtos!A:B,2,FALSE)</f>
        <v>BRAHMA CHOPP LATA 350ML SH 18 MULTIPACK</v>
      </c>
      <c r="I224" s="3" t="s">
        <v>491</v>
      </c>
      <c r="J22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5" spans="1:10" x14ac:dyDescent="0.25">
      <c r="A225">
        <v>224</v>
      </c>
      <c r="B225" s="1">
        <v>45820.349745370397</v>
      </c>
      <c r="C225" s="1">
        <v>45820.350312499999</v>
      </c>
      <c r="D225" s="3" t="s">
        <v>18</v>
      </c>
      <c r="E225" s="3" t="s">
        <v>24</v>
      </c>
      <c r="F225" s="3"/>
      <c r="G225" s="2">
        <v>8411</v>
      </c>
      <c r="H225" s="2" t="str">
        <f>VLOOKUP(G225,Produtos!A:B,2,FALSE)</f>
        <v>GUARANA CHP ANTARCTICA PET 1,5L SH C/6</v>
      </c>
      <c r="I225" s="3" t="s">
        <v>493</v>
      </c>
      <c r="J22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6" spans="1:10" x14ac:dyDescent="0.25">
      <c r="A226">
        <v>225</v>
      </c>
      <c r="B226" s="1">
        <v>45820.603217592601</v>
      </c>
      <c r="C226" s="1">
        <v>45820.603935185201</v>
      </c>
      <c r="D226" s="3" t="s">
        <v>18</v>
      </c>
      <c r="E226" s="3" t="s">
        <v>24</v>
      </c>
      <c r="F226" s="3"/>
      <c r="G226" s="2">
        <v>9071</v>
      </c>
      <c r="H226" s="2" t="str">
        <f>VLOOKUP(G226,Produtos!A:B,2,FALSE)</f>
        <v>CARACU LATA 350ML SH C/12 NPAL</v>
      </c>
      <c r="I226" s="3" t="s">
        <v>493</v>
      </c>
      <c r="J22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7" spans="1:10" x14ac:dyDescent="0.25">
      <c r="A227">
        <v>226</v>
      </c>
      <c r="B227" s="1">
        <v>45821.371504629598</v>
      </c>
      <c r="C227" s="1">
        <v>45821.372152777803</v>
      </c>
      <c r="D227" s="3" t="s">
        <v>20</v>
      </c>
      <c r="E227" s="3" t="s">
        <v>24</v>
      </c>
      <c r="F227" s="3"/>
      <c r="G227" s="2">
        <v>4409</v>
      </c>
      <c r="H227" s="2" t="str">
        <f>VLOOKUP(G227,Produtos!A:B,2,FALSE)</f>
        <v>PEPSI TWIST PET 2L SHRINK C/6</v>
      </c>
      <c r="I227" s="3" t="s">
        <v>496</v>
      </c>
      <c r="J22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8" spans="1:10" x14ac:dyDescent="0.25">
      <c r="A228">
        <v>227</v>
      </c>
      <c r="B228" s="1">
        <v>45821.371805555602</v>
      </c>
      <c r="C228" s="1">
        <v>45821.372349537</v>
      </c>
      <c r="D228" s="3" t="s">
        <v>18</v>
      </c>
      <c r="E228" s="3" t="s">
        <v>24</v>
      </c>
      <c r="F228" s="3"/>
      <c r="G228" s="2">
        <v>4293</v>
      </c>
      <c r="H228" s="2" t="str">
        <f>VLOOKUP(G228,Produtos!A:B,2,FALSE)</f>
        <v>PEPSI BLACK PET 200ML SH C/12</v>
      </c>
      <c r="I228" s="3" t="s">
        <v>493</v>
      </c>
      <c r="J22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29" spans="1:10" x14ac:dyDescent="0.25">
      <c r="A229">
        <v>228</v>
      </c>
      <c r="B229" s="1">
        <v>45821.373194444401</v>
      </c>
      <c r="C229" s="1">
        <v>45821.373773148101</v>
      </c>
      <c r="D229" s="3" t="s">
        <v>20</v>
      </c>
      <c r="E229" s="3" t="s">
        <v>21</v>
      </c>
      <c r="F229" s="3"/>
      <c r="G229" s="2">
        <v>9320</v>
      </c>
      <c r="H229" s="2" t="str">
        <f>VLOOKUP(G229,Produtos!A:B,2,FALSE)</f>
        <v>BRAHMA CHOPP LT 473ML SH C/12 NPAL</v>
      </c>
      <c r="I229" s="3" t="s">
        <v>493</v>
      </c>
      <c r="J22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0" spans="1:10" x14ac:dyDescent="0.25">
      <c r="A230">
        <v>229</v>
      </c>
      <c r="B230" s="1">
        <v>45821.813946759299</v>
      </c>
      <c r="C230" s="1">
        <v>45821.814733796302</v>
      </c>
      <c r="D230" s="3" t="s">
        <v>29</v>
      </c>
      <c r="E230" s="3" t="s">
        <v>13</v>
      </c>
      <c r="F230" s="3"/>
      <c r="G230" s="3"/>
      <c r="H230" s="3" t="e">
        <f>VLOOKUP(G230,Produtos!A:B,2,FALSE)</f>
        <v>#N/A</v>
      </c>
      <c r="I230" s="3" t="s">
        <v>498</v>
      </c>
      <c r="J23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1" spans="1:10" x14ac:dyDescent="0.25">
      <c r="A231">
        <v>230</v>
      </c>
      <c r="B231" s="1">
        <v>45822.259166666699</v>
      </c>
      <c r="C231" s="1">
        <v>45822.259861111103</v>
      </c>
      <c r="D231" s="3" t="s">
        <v>18</v>
      </c>
      <c r="E231" s="3" t="s">
        <v>21</v>
      </c>
      <c r="F231" s="3"/>
      <c r="G231" s="2">
        <v>9085</v>
      </c>
      <c r="H231" s="2" t="str">
        <f>VLOOKUP(G231,Produtos!A:B,2,FALSE)</f>
        <v>GUARANA CHP ANTARCT DIET LT350ML SHC/12</v>
      </c>
      <c r="I231" s="3" t="s">
        <v>493</v>
      </c>
      <c r="J23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2" spans="1:10" x14ac:dyDescent="0.25">
      <c r="A232">
        <v>231</v>
      </c>
      <c r="B232" s="1">
        <v>45822.259166666699</v>
      </c>
      <c r="C232" s="1">
        <v>45822.260358796302</v>
      </c>
      <c r="D232" s="3" t="s">
        <v>20</v>
      </c>
      <c r="E232" s="3" t="s">
        <v>21</v>
      </c>
      <c r="F232" s="3"/>
      <c r="G232" s="2">
        <v>2349</v>
      </c>
      <c r="H232" s="2" t="str">
        <f>VLOOKUP(G232,Produtos!A:B,2,FALSE)</f>
        <v>GUARANA CHP ANTARCTICA PET 2L CAIXA C/6</v>
      </c>
      <c r="I232" s="3" t="s">
        <v>500</v>
      </c>
      <c r="J23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3" spans="1:10" x14ac:dyDescent="0.25">
      <c r="A233">
        <v>232</v>
      </c>
      <c r="B233" s="1">
        <v>45822.266805555599</v>
      </c>
      <c r="C233" s="1">
        <v>45822.267407407402</v>
      </c>
      <c r="D233" s="3" t="s">
        <v>18</v>
      </c>
      <c r="E233" s="3" t="s">
        <v>21</v>
      </c>
      <c r="F233" s="3"/>
      <c r="G233" s="2">
        <v>32969</v>
      </c>
      <c r="H233" s="2" t="str">
        <f>VLOOKUP(G233,Produtos!A:B,2,FALSE)</f>
        <v>RED BULL S MOR E PESSEGO LT 250ML FOUR P</v>
      </c>
      <c r="I233" s="3" t="s">
        <v>493</v>
      </c>
      <c r="J23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4" spans="1:10" x14ac:dyDescent="0.25">
      <c r="A234">
        <v>233</v>
      </c>
      <c r="B234" s="1">
        <v>45822.2711921296</v>
      </c>
      <c r="C234" s="1">
        <v>45822.271724537</v>
      </c>
      <c r="D234" s="3" t="s">
        <v>18</v>
      </c>
      <c r="E234" s="3" t="s">
        <v>26</v>
      </c>
      <c r="F234" s="3"/>
      <c r="G234" s="2">
        <v>21020</v>
      </c>
      <c r="H234" s="2" t="str">
        <f>VLOOKUP(G234,Produtos!A:B,2,FALSE)</f>
        <v>BUDWEISER LT SLEEK 350ML CX CART C12</v>
      </c>
      <c r="I234" s="3" t="s">
        <v>493</v>
      </c>
      <c r="J23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5" spans="1:10" x14ac:dyDescent="0.25">
      <c r="A235">
        <v>234</v>
      </c>
      <c r="B235" s="1">
        <v>45822.531064814801</v>
      </c>
      <c r="C235" s="1">
        <v>45822.531944444403</v>
      </c>
      <c r="D235" s="3" t="s">
        <v>20</v>
      </c>
      <c r="E235" s="3" t="s">
        <v>21</v>
      </c>
      <c r="F235" s="3"/>
      <c r="G235" s="2">
        <v>9085</v>
      </c>
      <c r="H235" s="2" t="str">
        <f>VLOOKUP(G235,Produtos!A:B,2,FALSE)</f>
        <v>GUARANA CHP ANTARCT DIET LT350ML SHC/12</v>
      </c>
      <c r="I235" s="3" t="s">
        <v>491</v>
      </c>
      <c r="J23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6" spans="1:10" x14ac:dyDescent="0.25">
      <c r="A236">
        <v>235</v>
      </c>
      <c r="B236" s="1">
        <v>45824.395405092597</v>
      </c>
      <c r="C236" s="1">
        <v>45824.395879629599</v>
      </c>
      <c r="D236" s="3" t="s">
        <v>20</v>
      </c>
      <c r="E236" s="3" t="s">
        <v>24</v>
      </c>
      <c r="F236" s="3"/>
      <c r="G236" s="2">
        <v>9091</v>
      </c>
      <c r="H236" s="2" t="str">
        <f>VLOOKUP(G236,Produtos!A:B,2,FALSE)</f>
        <v>TONICA ANTARCTICA LT 350ML SH C/12 NPAL</v>
      </c>
      <c r="I236" s="3" t="s">
        <v>500</v>
      </c>
      <c r="J23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7" spans="1:10" x14ac:dyDescent="0.25">
      <c r="A237">
        <v>236</v>
      </c>
      <c r="B237" s="1">
        <v>45824.397002314799</v>
      </c>
      <c r="C237" s="1">
        <v>45824.397615740701</v>
      </c>
      <c r="D237" s="3" t="s">
        <v>20</v>
      </c>
      <c r="E237" s="3" t="s">
        <v>24</v>
      </c>
      <c r="F237" s="3"/>
      <c r="G237" s="2">
        <v>9274</v>
      </c>
      <c r="H237" s="2" t="str">
        <f>VLOOKUP(G237,Produtos!A:B,2,FALSE)</f>
        <v>PEPSI ZERO LATA 350ML SH C/12 NPAL</v>
      </c>
      <c r="I237" s="3" t="s">
        <v>491</v>
      </c>
      <c r="J23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8" spans="1:10" x14ac:dyDescent="0.25">
      <c r="A238">
        <v>237</v>
      </c>
      <c r="B238" s="1">
        <v>45824.402256944399</v>
      </c>
      <c r="C238" s="1">
        <v>45824.402858796297</v>
      </c>
      <c r="D238" s="3" t="s">
        <v>20</v>
      </c>
      <c r="E238" s="3" t="s">
        <v>21</v>
      </c>
      <c r="F238" s="3"/>
      <c r="G238" s="2">
        <v>33818</v>
      </c>
      <c r="H238" s="2" t="str">
        <f>VLOOKUP(G238,Produtos!A:B,2,FALSE)</f>
        <v>ORIGINAL LT 350ML SH C/12 NP MULTIPACK</v>
      </c>
      <c r="I238" s="3" t="s">
        <v>493</v>
      </c>
      <c r="J23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39" spans="1:10" x14ac:dyDescent="0.25">
      <c r="A239">
        <v>238</v>
      </c>
      <c r="B239" s="1">
        <v>45824.407199074099</v>
      </c>
      <c r="C239" s="1">
        <v>45824.408159722203</v>
      </c>
      <c r="D239" s="3" t="s">
        <v>20</v>
      </c>
      <c r="E239" s="3" t="s">
        <v>21</v>
      </c>
      <c r="F239" s="3"/>
      <c r="G239" s="2">
        <v>32969</v>
      </c>
      <c r="H239" s="2" t="str">
        <f>VLOOKUP(G239,Produtos!A:B,2,FALSE)</f>
        <v>RED BULL S MOR E PESSEGO LT 250ML FOUR P</v>
      </c>
      <c r="I239" s="3" t="s">
        <v>493</v>
      </c>
      <c r="J23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0" spans="1:10" x14ac:dyDescent="0.25">
      <c r="A240">
        <v>239</v>
      </c>
      <c r="B240" s="1">
        <v>45824.622199074103</v>
      </c>
      <c r="C240" s="1">
        <v>45824.623171296298</v>
      </c>
      <c r="D240" s="3" t="s">
        <v>22</v>
      </c>
      <c r="E240" s="3" t="s">
        <v>15</v>
      </c>
      <c r="F240" s="3"/>
      <c r="G240" s="3"/>
      <c r="H240" s="3" t="e">
        <f>VLOOKUP(G240,Produtos!A:B,2,FALSE)</f>
        <v>#N/A</v>
      </c>
      <c r="I240" s="3" t="s">
        <v>495</v>
      </c>
      <c r="J24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1" spans="1:10" x14ac:dyDescent="0.25">
      <c r="A241">
        <v>240</v>
      </c>
      <c r="B241" s="1">
        <v>45825.354745370401</v>
      </c>
      <c r="C241" s="1">
        <v>45825.355243055601</v>
      </c>
      <c r="D241" s="3" t="s">
        <v>18</v>
      </c>
      <c r="E241" s="3" t="s">
        <v>24</v>
      </c>
      <c r="F241" s="3"/>
      <c r="G241" s="2">
        <v>9067</v>
      </c>
      <c r="H241" s="2" t="str">
        <f>VLOOKUP(G241,Produtos!A:B,2,FALSE)</f>
        <v>ANTARCTICA PILSEN LATA 350ML SH C/12 NPA</v>
      </c>
      <c r="I241" s="3" t="s">
        <v>493</v>
      </c>
      <c r="J24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2" spans="1:10" x14ac:dyDescent="0.25">
      <c r="A242">
        <v>241</v>
      </c>
      <c r="B242" s="1">
        <v>45825.355729166702</v>
      </c>
      <c r="C242" s="1">
        <v>45825.356400463003</v>
      </c>
      <c r="D242" s="3" t="s">
        <v>18</v>
      </c>
      <c r="E242" s="3" t="s">
        <v>24</v>
      </c>
      <c r="F242" s="3"/>
      <c r="G242" s="2">
        <v>18807</v>
      </c>
      <c r="H242" s="2" t="str">
        <f>VLOOKUP(G242,Produtos!A:B,2,FALSE)</f>
        <v>STELLA ARTOIS LN 330ML 6PACK SHR C 4</v>
      </c>
      <c r="I242" s="3" t="s">
        <v>493</v>
      </c>
      <c r="J24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3" spans="1:10" x14ac:dyDescent="0.25">
      <c r="A243">
        <v>242</v>
      </c>
      <c r="B243" s="1">
        <v>45825.358078703699</v>
      </c>
      <c r="C243" s="1">
        <v>45825.358541666697</v>
      </c>
      <c r="D243" s="3" t="s">
        <v>18</v>
      </c>
      <c r="E243" s="3" t="s">
        <v>21</v>
      </c>
      <c r="F243" s="3"/>
      <c r="G243" s="2">
        <v>9320</v>
      </c>
      <c r="H243" s="2" t="str">
        <f>VLOOKUP(G243,Produtos!A:B,2,FALSE)</f>
        <v>BRAHMA CHOPP LT 473ML SH C/12 NPAL</v>
      </c>
      <c r="I243" s="3" t="s">
        <v>493</v>
      </c>
      <c r="J24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4" spans="1:10" x14ac:dyDescent="0.25">
      <c r="A244">
        <v>243</v>
      </c>
      <c r="B244" s="1">
        <v>45825.3584722222</v>
      </c>
      <c r="C244" s="1">
        <v>45825.359224537002</v>
      </c>
      <c r="D244" s="3" t="s">
        <v>20</v>
      </c>
      <c r="E244" s="3" t="s">
        <v>24</v>
      </c>
      <c r="F244" s="3"/>
      <c r="G244" s="2">
        <v>9068</v>
      </c>
      <c r="H244" s="2" t="str">
        <f>VLOOKUP(G244,Produtos!A:B,2,FALSE)</f>
        <v>SKOL LATA 350ML SH C/12 NPAL</v>
      </c>
      <c r="I244" s="3" t="s">
        <v>493</v>
      </c>
      <c r="J24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5" spans="1:10" x14ac:dyDescent="0.25">
      <c r="A245">
        <v>244</v>
      </c>
      <c r="B245" s="1">
        <v>45825.359803240703</v>
      </c>
      <c r="C245" s="1">
        <v>45825.360393518502</v>
      </c>
      <c r="D245" s="3" t="s">
        <v>20</v>
      </c>
      <c r="E245" s="3" t="s">
        <v>26</v>
      </c>
      <c r="F245" s="3"/>
      <c r="G245" s="2">
        <v>19310</v>
      </c>
      <c r="H245" s="2" t="str">
        <f>VLOOKUP(G245,Produtos!A:B,2,FALSE)</f>
        <v>ORIGINAL LATA 350ML CX CARTAO C/12 NPAL</v>
      </c>
      <c r="I245" s="3" t="s">
        <v>500</v>
      </c>
      <c r="J24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6" spans="1:10" x14ac:dyDescent="0.25">
      <c r="A246">
        <v>245</v>
      </c>
      <c r="B246" s="1">
        <v>45825.3616666667</v>
      </c>
      <c r="C246" s="1">
        <v>45825.362245370401</v>
      </c>
      <c r="D246" s="3" t="s">
        <v>20</v>
      </c>
      <c r="E246" s="3" t="s">
        <v>26</v>
      </c>
      <c r="F246" s="3"/>
      <c r="G246" s="2">
        <v>9084</v>
      </c>
      <c r="H246" s="2" t="str">
        <f>VLOOKUP(G246,Produtos!A:B,2,FALSE)</f>
        <v>GUARANA CHP ANTARCT LT350ML SH C/12 NPAL</v>
      </c>
      <c r="I246" s="3" t="s">
        <v>500</v>
      </c>
      <c r="J24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7" spans="1:10" x14ac:dyDescent="0.25">
      <c r="A247">
        <v>246</v>
      </c>
      <c r="B247" s="1">
        <v>45826.386111111096</v>
      </c>
      <c r="C247" s="1">
        <v>45826.386608796303</v>
      </c>
      <c r="D247" s="3" t="s">
        <v>18</v>
      </c>
      <c r="E247" s="3" t="s">
        <v>24</v>
      </c>
      <c r="F247" s="3"/>
      <c r="G247" s="2">
        <v>9274</v>
      </c>
      <c r="H247" s="2" t="str">
        <f>VLOOKUP(G247,Produtos!A:B,2,FALSE)</f>
        <v>PEPSI ZERO LATA 350ML SH C/12 NPAL</v>
      </c>
      <c r="I247" s="3" t="s">
        <v>493</v>
      </c>
      <c r="J24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8" spans="1:10" x14ac:dyDescent="0.25">
      <c r="A248">
        <v>247</v>
      </c>
      <c r="B248" s="1">
        <v>45826.386736111097</v>
      </c>
      <c r="C248" s="1">
        <v>45826.387418981503</v>
      </c>
      <c r="D248" s="3" t="s">
        <v>18</v>
      </c>
      <c r="E248" s="3" t="s">
        <v>24</v>
      </c>
      <c r="F248" s="3"/>
      <c r="G248" s="2">
        <v>9274</v>
      </c>
      <c r="H248" s="2" t="str">
        <f>VLOOKUP(G248,Produtos!A:B,2,FALSE)</f>
        <v>PEPSI ZERO LATA 350ML SH C/12 NPAL</v>
      </c>
      <c r="I248" s="3" t="s">
        <v>493</v>
      </c>
      <c r="J24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49" spans="1:10" x14ac:dyDescent="0.25">
      <c r="A249">
        <v>248</v>
      </c>
      <c r="B249" s="1">
        <v>45826.415706018503</v>
      </c>
      <c r="C249" s="1">
        <v>45826.416273148097</v>
      </c>
      <c r="D249" s="3" t="s">
        <v>20</v>
      </c>
      <c r="E249" s="3" t="s">
        <v>24</v>
      </c>
      <c r="F249" s="3"/>
      <c r="G249" s="2">
        <v>17725</v>
      </c>
      <c r="H249" s="2" t="str">
        <f>VLOOKUP(G249,Produtos!A:B,2,FALSE)</f>
        <v>ANTARCTICA PILSEN LT 350ML SH C/18 MULTP</v>
      </c>
      <c r="I249" s="3" t="s">
        <v>500</v>
      </c>
      <c r="J24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0" spans="1:10" x14ac:dyDescent="0.25">
      <c r="A250">
        <v>249</v>
      </c>
      <c r="B250" s="1">
        <v>45826.417349536998</v>
      </c>
      <c r="C250" s="1">
        <v>45826.417847222197</v>
      </c>
      <c r="D250" s="3" t="s">
        <v>20</v>
      </c>
      <c r="E250" s="3" t="s">
        <v>24</v>
      </c>
      <c r="F250" s="3"/>
      <c r="G250" s="2">
        <v>20498</v>
      </c>
      <c r="H250" s="2" t="str">
        <f>VLOOKUP(G250,Produtos!A:B,2,FALSE)</f>
        <v>BRAHMA DUPLO MALTE LT SLEEK 350ML SH C12</v>
      </c>
      <c r="I250" s="3" t="s">
        <v>500</v>
      </c>
      <c r="J25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1" spans="1:10" x14ac:dyDescent="0.25">
      <c r="A251">
        <v>250</v>
      </c>
      <c r="B251" s="1">
        <v>45826.419004629599</v>
      </c>
      <c r="C251" s="1">
        <v>45826.419618055603</v>
      </c>
      <c r="D251" s="3" t="s">
        <v>20</v>
      </c>
      <c r="E251" s="3" t="s">
        <v>24</v>
      </c>
      <c r="F251" s="3"/>
      <c r="G251" s="2">
        <v>18490</v>
      </c>
      <c r="H251" s="2" t="str">
        <f>VLOOKUP(G251,Produtos!A:B,2,FALSE)</f>
        <v>PATAGONIA AMB LAG NAC LATA 473ML 6PACK</v>
      </c>
      <c r="I251" s="3" t="s">
        <v>493</v>
      </c>
      <c r="J25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2" spans="1:10" x14ac:dyDescent="0.25">
      <c r="A252">
        <v>251</v>
      </c>
      <c r="B252" s="1">
        <v>45826.4222800926</v>
      </c>
      <c r="C252" s="1">
        <v>45826.4230439815</v>
      </c>
      <c r="D252" s="3" t="s">
        <v>20</v>
      </c>
      <c r="E252" s="3" t="s">
        <v>24</v>
      </c>
      <c r="F252" s="3"/>
      <c r="G252" s="2">
        <v>9091</v>
      </c>
      <c r="H252" s="2" t="str">
        <f>VLOOKUP(G252,Produtos!A:B,2,FALSE)</f>
        <v>TONICA ANTARCTICA LT 350ML SH C/12 NPAL</v>
      </c>
      <c r="I252" s="3" t="s">
        <v>493</v>
      </c>
      <c r="J25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3" spans="1:10" x14ac:dyDescent="0.25">
      <c r="A253">
        <v>252</v>
      </c>
      <c r="B253" s="1">
        <v>45826.423784722203</v>
      </c>
      <c r="C253" s="1">
        <v>45826.424791666701</v>
      </c>
      <c r="D253" s="3" t="s">
        <v>20</v>
      </c>
      <c r="E253" s="3" t="s">
        <v>24</v>
      </c>
      <c r="F253" s="3"/>
      <c r="G253" s="2">
        <v>9096</v>
      </c>
      <c r="H253" s="2" t="str">
        <f>VLOOKUP(G253,Produtos!A:B,2,FALSE)</f>
        <v>PEPSI COLA LATA 350ML SH C/12 NPAL</v>
      </c>
      <c r="I253" s="3" t="s">
        <v>493</v>
      </c>
      <c r="J25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4" spans="1:10" x14ac:dyDescent="0.25">
      <c r="A254">
        <v>253</v>
      </c>
      <c r="B254" s="1">
        <v>45826.425057870401</v>
      </c>
      <c r="C254" s="1">
        <v>45826.426354166702</v>
      </c>
      <c r="D254" s="3" t="s">
        <v>20</v>
      </c>
      <c r="E254" s="3" t="s">
        <v>21</v>
      </c>
      <c r="F254" s="3"/>
      <c r="G254" s="2">
        <v>9320</v>
      </c>
      <c r="H254" s="2" t="str">
        <f>VLOOKUP(G254,Produtos!A:B,2,FALSE)</f>
        <v>BRAHMA CHOPP LT 473ML SH C/12 NPAL</v>
      </c>
      <c r="I254" s="3" t="s">
        <v>500</v>
      </c>
      <c r="J25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5" spans="1:10" x14ac:dyDescent="0.25">
      <c r="A255">
        <v>254</v>
      </c>
      <c r="B255" s="1">
        <v>45826.585972222201</v>
      </c>
      <c r="C255" s="1">
        <v>45826.586643518502</v>
      </c>
      <c r="D255" s="3" t="s">
        <v>18</v>
      </c>
      <c r="E255" s="3" t="s">
        <v>21</v>
      </c>
      <c r="F255" s="3"/>
      <c r="G255" s="2">
        <v>12948</v>
      </c>
      <c r="H255" s="2" t="str">
        <f>VLOOKUP(G255,Produtos!A:B,2,FALSE)</f>
        <v>BRAHMA CHOPP ZERO LATA 350 SH CX C12 NPA</v>
      </c>
      <c r="I255" s="3" t="s">
        <v>493</v>
      </c>
      <c r="J25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6" spans="1:10" x14ac:dyDescent="0.25">
      <c r="A256">
        <v>255</v>
      </c>
      <c r="B256" s="1">
        <v>45826.661238425899</v>
      </c>
      <c r="C256" s="1">
        <v>45826.670925925901</v>
      </c>
      <c r="D256" s="3" t="s">
        <v>32</v>
      </c>
      <c r="E256" s="3" t="s">
        <v>19</v>
      </c>
      <c r="F256" s="3"/>
      <c r="G256" s="3"/>
      <c r="H256" s="3" t="e">
        <f>VLOOKUP(G256,Produtos!A:B,2,FALSE)</f>
        <v>#N/A</v>
      </c>
      <c r="I256" s="3"/>
      <c r="J25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7" spans="1:10" x14ac:dyDescent="0.25">
      <c r="A257">
        <v>256</v>
      </c>
      <c r="B257" s="1">
        <v>45828.317326388897</v>
      </c>
      <c r="C257" s="1">
        <v>45828.318275463003</v>
      </c>
      <c r="D257" s="3" t="s">
        <v>20</v>
      </c>
      <c r="E257" s="3" t="s">
        <v>24</v>
      </c>
      <c r="F257" s="3"/>
      <c r="G257" s="2">
        <v>22177</v>
      </c>
      <c r="H257" s="2" t="str">
        <f>VLOOKUP(G257,Produtos!A:B,2,FALSE)</f>
        <v>BUDWEISER ZERO LT SLEEK 350ML C8 CX CART</v>
      </c>
      <c r="I257" s="3" t="s">
        <v>493</v>
      </c>
      <c r="J25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8" spans="1:10" x14ac:dyDescent="0.25">
      <c r="A258">
        <v>257</v>
      </c>
      <c r="B258" s="1">
        <v>45828.319976851897</v>
      </c>
      <c r="C258" s="1">
        <v>45828.320509259298</v>
      </c>
      <c r="D258" s="3" t="s">
        <v>18</v>
      </c>
      <c r="E258" s="3" t="s">
        <v>24</v>
      </c>
      <c r="F258" s="3"/>
      <c r="G258" s="2">
        <v>9092</v>
      </c>
      <c r="H258" s="2" t="str">
        <f>VLOOKUP(G258,Produtos!A:B,2,FALSE)</f>
        <v>TONICA ANTARCTICA DIET LT350MLSHC/12 PAL</v>
      </c>
      <c r="I258" s="3" t="s">
        <v>493</v>
      </c>
      <c r="J25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59" spans="1:10" x14ac:dyDescent="0.25">
      <c r="A259">
        <v>258</v>
      </c>
      <c r="B259" s="1">
        <v>45828.321504629603</v>
      </c>
      <c r="C259" s="1">
        <v>45828.322187500002</v>
      </c>
      <c r="D259" s="3" t="s">
        <v>20</v>
      </c>
      <c r="E259" s="3" t="s">
        <v>26</v>
      </c>
      <c r="F259" s="3"/>
      <c r="G259" s="2">
        <v>19310</v>
      </c>
      <c r="H259" s="2" t="str">
        <f>VLOOKUP(G259,Produtos!A:B,2,FALSE)</f>
        <v>ORIGINAL LATA 350ML CX CARTAO C/12 NPAL</v>
      </c>
      <c r="I259" s="3" t="s">
        <v>493</v>
      </c>
      <c r="J25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0" spans="1:10" x14ac:dyDescent="0.25">
      <c r="A260">
        <v>259</v>
      </c>
      <c r="B260" s="1">
        <v>45828.322939814803</v>
      </c>
      <c r="C260" s="1">
        <v>45828.323541666701</v>
      </c>
      <c r="D260" s="3" t="s">
        <v>18</v>
      </c>
      <c r="E260" s="3" t="s">
        <v>24</v>
      </c>
      <c r="F260" s="3"/>
      <c r="G260" s="2">
        <v>9274</v>
      </c>
      <c r="H260" s="2" t="str">
        <f>VLOOKUP(G260,Produtos!A:B,2,FALSE)</f>
        <v>PEPSI ZERO LATA 350ML SH C/12 NPAL</v>
      </c>
      <c r="I260" s="3" t="s">
        <v>493</v>
      </c>
      <c r="J26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1" spans="1:10" x14ac:dyDescent="0.25">
      <c r="A261">
        <v>260</v>
      </c>
      <c r="B261" s="1">
        <v>45828.324745370403</v>
      </c>
      <c r="C261" s="1">
        <v>45828.325254629599</v>
      </c>
      <c r="D261" s="3" t="s">
        <v>20</v>
      </c>
      <c r="E261" s="3" t="s">
        <v>24</v>
      </c>
      <c r="F261" s="3"/>
      <c r="G261" s="2">
        <v>18764</v>
      </c>
      <c r="H261" s="2" t="str">
        <f>VLOOKUP(G261,Produtos!A:B,2,FALSE)</f>
        <v>PATAGONIA BOH PIL NAC LATA 473ML 6 PACK</v>
      </c>
      <c r="I261" s="3" t="s">
        <v>493</v>
      </c>
      <c r="J26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2" spans="1:10" x14ac:dyDescent="0.25">
      <c r="A262">
        <v>261</v>
      </c>
      <c r="B262" s="1">
        <v>45828.326400462996</v>
      </c>
      <c r="C262" s="1">
        <v>45828.3268634259</v>
      </c>
      <c r="D262" s="3" t="s">
        <v>20</v>
      </c>
      <c r="E262" s="3" t="s">
        <v>24</v>
      </c>
      <c r="F262" s="3"/>
      <c r="G262" s="2">
        <v>9067</v>
      </c>
      <c r="H262" s="2" t="str">
        <f>VLOOKUP(G262,Produtos!A:B,2,FALSE)</f>
        <v>ANTARCTICA PILSEN LATA 350ML SH C/12 NPA</v>
      </c>
      <c r="I262" s="3" t="s">
        <v>493</v>
      </c>
      <c r="J26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3" spans="1:10" x14ac:dyDescent="0.25">
      <c r="A263">
        <v>262</v>
      </c>
      <c r="B263" s="1">
        <v>45828.328055555598</v>
      </c>
      <c r="C263" s="1">
        <v>45828.329016203701</v>
      </c>
      <c r="D263" s="3" t="s">
        <v>20</v>
      </c>
      <c r="E263" s="3" t="s">
        <v>26</v>
      </c>
      <c r="F263" s="3"/>
      <c r="G263" s="2">
        <v>17797</v>
      </c>
      <c r="H263" s="2" t="str">
        <f>VLOOKUP(G263,Produtos!A:B,2,FALSE)</f>
        <v>BRAHMA CHOPP LATA 350ML SH 18 MULTIPACK</v>
      </c>
      <c r="I263" s="3" t="s">
        <v>493</v>
      </c>
      <c r="J26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4" spans="1:10" x14ac:dyDescent="0.25">
      <c r="A264">
        <v>263</v>
      </c>
      <c r="B264" s="1">
        <v>45828.331736111097</v>
      </c>
      <c r="C264" s="1">
        <v>45828.332337963002</v>
      </c>
      <c r="D264" s="3" t="s">
        <v>20</v>
      </c>
      <c r="E264" s="3" t="s">
        <v>21</v>
      </c>
      <c r="F264" s="3"/>
      <c r="G264" s="2">
        <v>9068</v>
      </c>
      <c r="H264" s="2" t="str">
        <f>VLOOKUP(G264,Produtos!A:B,2,FALSE)</f>
        <v>SKOL LATA 350ML SH C/12 NPAL</v>
      </c>
      <c r="I264" s="3" t="s">
        <v>493</v>
      </c>
      <c r="J26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5" spans="1:10" x14ac:dyDescent="0.25">
      <c r="A265">
        <v>264</v>
      </c>
      <c r="B265" s="1">
        <v>45828.443946759297</v>
      </c>
      <c r="C265" s="1">
        <v>45828.444374999999</v>
      </c>
      <c r="D265" s="3" t="s">
        <v>18</v>
      </c>
      <c r="E265" s="3" t="s">
        <v>24</v>
      </c>
      <c r="F265" s="3"/>
      <c r="G265" s="2">
        <v>9081</v>
      </c>
      <c r="H265" s="2" t="str">
        <f>VLOOKUP(G265,Produtos!A:B,2,FALSE)</f>
        <v>MALZBIER BRAHMA LATA 350ML SH C/12 NPAL</v>
      </c>
      <c r="I265" s="3" t="s">
        <v>493</v>
      </c>
      <c r="J26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6" spans="1:10" x14ac:dyDescent="0.25">
      <c r="A266">
        <v>265</v>
      </c>
      <c r="B266" s="1">
        <v>45828.675162036998</v>
      </c>
      <c r="C266" s="1">
        <v>45828.675636574102</v>
      </c>
      <c r="D266" s="3" t="s">
        <v>22</v>
      </c>
      <c r="E266" s="3" t="s">
        <v>15</v>
      </c>
      <c r="F266" s="3"/>
      <c r="G266" s="3"/>
      <c r="H266" s="3" t="e">
        <f>VLOOKUP(G266,Produtos!A:B,2,FALSE)</f>
        <v>#N/A</v>
      </c>
      <c r="I266" s="3" t="s">
        <v>495</v>
      </c>
      <c r="J26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7" spans="1:10" x14ac:dyDescent="0.25">
      <c r="A267">
        <v>266</v>
      </c>
      <c r="B267" s="1">
        <v>45828.726076388899</v>
      </c>
      <c r="C267" s="1">
        <v>45828.727847222202</v>
      </c>
      <c r="D267" s="3" t="s">
        <v>32</v>
      </c>
      <c r="E267" s="3" t="s">
        <v>15</v>
      </c>
      <c r="F267" s="3"/>
      <c r="G267" s="3"/>
      <c r="H267" s="3" t="e">
        <f>VLOOKUP(G267,Produtos!A:B,2,FALSE)</f>
        <v>#N/A</v>
      </c>
      <c r="I267" s="3"/>
      <c r="J26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8" spans="1:10" x14ac:dyDescent="0.25">
      <c r="A268">
        <v>267</v>
      </c>
      <c r="B268" s="1">
        <v>45829.259907407402</v>
      </c>
      <c r="C268" s="1">
        <v>45829.2605092593</v>
      </c>
      <c r="D268" s="3" t="s">
        <v>18</v>
      </c>
      <c r="E268" s="3" t="s">
        <v>24</v>
      </c>
      <c r="F268" s="3"/>
      <c r="G268" s="2">
        <v>9084</v>
      </c>
      <c r="H268" s="2" t="str">
        <f>VLOOKUP(G268,Produtos!A:B,2,FALSE)</f>
        <v>GUARANA CHP ANTARCT LT350ML SH C/12 NPAL</v>
      </c>
      <c r="I268" s="3" t="s">
        <v>493</v>
      </c>
      <c r="J26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69" spans="1:10" x14ac:dyDescent="0.25">
      <c r="A269">
        <v>268</v>
      </c>
      <c r="B269" s="1">
        <v>45829.261840277803</v>
      </c>
      <c r="C269" s="1">
        <v>45829.262395833299</v>
      </c>
      <c r="D269" s="3" t="s">
        <v>18</v>
      </c>
      <c r="E269" s="3" t="s">
        <v>24</v>
      </c>
      <c r="F269" s="3"/>
      <c r="G269" s="2">
        <v>9084</v>
      </c>
      <c r="H269" s="2" t="str">
        <f>VLOOKUP(G269,Produtos!A:B,2,FALSE)</f>
        <v>GUARANA CHP ANTARCT LT350ML SH C/12 NPAL</v>
      </c>
      <c r="I269" s="3" t="s">
        <v>493</v>
      </c>
      <c r="J26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0" spans="1:10" x14ac:dyDescent="0.25">
      <c r="A270">
        <v>269</v>
      </c>
      <c r="B270" s="1">
        <v>45829.262407407397</v>
      </c>
      <c r="C270" s="1">
        <v>45829.262986111098</v>
      </c>
      <c r="D270" s="3" t="s">
        <v>18</v>
      </c>
      <c r="E270" s="3" t="s">
        <v>24</v>
      </c>
      <c r="F270" s="3"/>
      <c r="G270" s="2">
        <v>33818</v>
      </c>
      <c r="H270" s="2" t="str">
        <f>VLOOKUP(G270,Produtos!A:B,2,FALSE)</f>
        <v>ORIGINAL LT 350ML SH C/12 NP MULTIPACK</v>
      </c>
      <c r="I270" s="3" t="s">
        <v>493</v>
      </c>
      <c r="J27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1" spans="1:10" x14ac:dyDescent="0.25">
      <c r="A271">
        <v>270</v>
      </c>
      <c r="B271" s="1">
        <v>45829.266018518501</v>
      </c>
      <c r="C271" s="1">
        <v>45829.266562500001</v>
      </c>
      <c r="D271" s="3" t="s">
        <v>18</v>
      </c>
      <c r="E271" s="3" t="s">
        <v>24</v>
      </c>
      <c r="F271" s="3"/>
      <c r="G271" s="2">
        <v>17725</v>
      </c>
      <c r="H271" s="2" t="str">
        <f>VLOOKUP(G271,Produtos!A:B,2,FALSE)</f>
        <v>ANTARCTICA PILSEN LT 350ML SH C/18 MULTP</v>
      </c>
      <c r="I271" s="3" t="s">
        <v>493</v>
      </c>
      <c r="J27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2" spans="1:10" x14ac:dyDescent="0.25">
      <c r="A272">
        <v>271</v>
      </c>
      <c r="B272" s="1">
        <v>45829.268136574101</v>
      </c>
      <c r="C272" s="1">
        <v>45829.2686805556</v>
      </c>
      <c r="D272" s="3" t="s">
        <v>18</v>
      </c>
      <c r="E272" s="3" t="s">
        <v>24</v>
      </c>
      <c r="F272" s="3"/>
      <c r="G272" s="2">
        <v>9081</v>
      </c>
      <c r="H272" s="2" t="str">
        <f>VLOOKUP(G272,Produtos!A:B,2,FALSE)</f>
        <v>MALZBIER BRAHMA LATA 350ML SH C/12 NPAL</v>
      </c>
      <c r="I272" s="3" t="s">
        <v>493</v>
      </c>
      <c r="J27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3" spans="1:10" x14ac:dyDescent="0.25">
      <c r="A273">
        <v>272</v>
      </c>
      <c r="B273" s="1">
        <v>45829.272118055596</v>
      </c>
      <c r="C273" s="1">
        <v>45829.272800925901</v>
      </c>
      <c r="D273" s="3" t="s">
        <v>18</v>
      </c>
      <c r="E273" s="3" t="s">
        <v>24</v>
      </c>
      <c r="F273" s="3"/>
      <c r="G273" s="2">
        <v>9084</v>
      </c>
      <c r="H273" s="2" t="str">
        <f>VLOOKUP(G273,Produtos!A:B,2,FALSE)</f>
        <v>GUARANA CHP ANTARCT LT350ML SH C/12 NPAL</v>
      </c>
      <c r="I273" s="3" t="s">
        <v>493</v>
      </c>
      <c r="J27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4" spans="1:10" x14ac:dyDescent="0.25">
      <c r="A274">
        <v>273</v>
      </c>
      <c r="B274" s="1">
        <v>45829.273854166699</v>
      </c>
      <c r="C274" s="1">
        <v>45829.2743402778</v>
      </c>
      <c r="D274" s="3" t="s">
        <v>18</v>
      </c>
      <c r="E274" s="3" t="s">
        <v>26</v>
      </c>
      <c r="F274" s="3"/>
      <c r="G274" s="2">
        <v>17797</v>
      </c>
      <c r="H274" s="2" t="str">
        <f>VLOOKUP(G274,Produtos!A:B,2,FALSE)</f>
        <v>BRAHMA CHOPP LATA 350ML SH 18 MULTIPACK</v>
      </c>
      <c r="I274" s="3" t="s">
        <v>493</v>
      </c>
      <c r="J27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5" spans="1:10" x14ac:dyDescent="0.25">
      <c r="A275">
        <v>274</v>
      </c>
      <c r="B275" s="1">
        <v>45829.274976851797</v>
      </c>
      <c r="C275" s="1">
        <v>45829.275486111103</v>
      </c>
      <c r="D275" s="3" t="s">
        <v>18</v>
      </c>
      <c r="E275" s="3" t="s">
        <v>24</v>
      </c>
      <c r="F275" s="3"/>
      <c r="G275" s="2">
        <v>9068</v>
      </c>
      <c r="H275" s="2" t="str">
        <f>VLOOKUP(G275,Produtos!A:B,2,FALSE)</f>
        <v>SKOL LATA 350ML SH C/12 NPAL</v>
      </c>
      <c r="I275" s="3" t="s">
        <v>493</v>
      </c>
      <c r="J27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6" spans="1:10" x14ac:dyDescent="0.25">
      <c r="A276">
        <v>275</v>
      </c>
      <c r="B276" s="1">
        <v>45831.3339583333</v>
      </c>
      <c r="C276" s="1">
        <v>45831.334444444401</v>
      </c>
      <c r="D276" s="3" t="s">
        <v>20</v>
      </c>
      <c r="E276" s="3" t="s">
        <v>24</v>
      </c>
      <c r="F276" s="3"/>
      <c r="G276" s="2">
        <v>9092</v>
      </c>
      <c r="H276" s="2" t="str">
        <f>VLOOKUP(G276,Produtos!A:B,2,FALSE)</f>
        <v>TONICA ANTARCTICA DIET LT350MLSHC/12 PAL</v>
      </c>
      <c r="I276" s="3" t="s">
        <v>500</v>
      </c>
      <c r="J27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7" spans="1:10" x14ac:dyDescent="0.25">
      <c r="A277">
        <v>276</v>
      </c>
      <c r="B277" s="1">
        <v>45831.335208333301</v>
      </c>
      <c r="C277" s="1">
        <v>45831.335694444402</v>
      </c>
      <c r="D277" s="3" t="s">
        <v>20</v>
      </c>
      <c r="E277" s="3" t="s">
        <v>24</v>
      </c>
      <c r="F277" s="3"/>
      <c r="G277" s="2">
        <v>33818</v>
      </c>
      <c r="H277" s="2" t="str">
        <f>VLOOKUP(G277,Produtos!A:B,2,FALSE)</f>
        <v>ORIGINAL LT 350ML SH C/12 NP MULTIPACK</v>
      </c>
      <c r="I277" s="3" t="s">
        <v>493</v>
      </c>
      <c r="J27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8" spans="1:10" x14ac:dyDescent="0.25">
      <c r="A278">
        <v>277</v>
      </c>
      <c r="B278" s="1">
        <v>45831.3374652778</v>
      </c>
      <c r="C278" s="1">
        <v>45831.337962963</v>
      </c>
      <c r="D278" s="3" t="s">
        <v>20</v>
      </c>
      <c r="E278" s="3" t="s">
        <v>24</v>
      </c>
      <c r="F278" s="3"/>
      <c r="G278" s="2">
        <v>9081</v>
      </c>
      <c r="H278" s="2" t="str">
        <f>VLOOKUP(G278,Produtos!A:B,2,FALSE)</f>
        <v>MALZBIER BRAHMA LATA 350ML SH C/12 NPAL</v>
      </c>
      <c r="I278" s="3" t="s">
        <v>493</v>
      </c>
      <c r="J27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79" spans="1:10" x14ac:dyDescent="0.25">
      <c r="A279">
        <v>278</v>
      </c>
      <c r="B279" s="1">
        <v>45831.339756944399</v>
      </c>
      <c r="C279" s="1">
        <v>45831.340520833299</v>
      </c>
      <c r="D279" s="3" t="s">
        <v>20</v>
      </c>
      <c r="E279" s="3" t="s">
        <v>24</v>
      </c>
      <c r="F279" s="3"/>
      <c r="G279" s="2">
        <v>9096</v>
      </c>
      <c r="H279" s="2" t="str">
        <f>VLOOKUP(G279,Produtos!A:B,2,FALSE)</f>
        <v>PEPSI COLA LATA 350ML SH C/12 NPAL</v>
      </c>
      <c r="I279" s="3" t="s">
        <v>491</v>
      </c>
      <c r="J27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0" spans="1:10" x14ac:dyDescent="0.25">
      <c r="A280">
        <v>279</v>
      </c>
      <c r="B280" s="1">
        <v>45831.341481481497</v>
      </c>
      <c r="C280" s="1">
        <v>45831.342349537001</v>
      </c>
      <c r="D280" s="3" t="s">
        <v>18</v>
      </c>
      <c r="E280" s="3" t="s">
        <v>26</v>
      </c>
      <c r="F280" s="3"/>
      <c r="G280" s="2">
        <v>9084</v>
      </c>
      <c r="H280" s="2" t="str">
        <f>VLOOKUP(G280,Produtos!A:B,2,FALSE)</f>
        <v>GUARANA CHP ANTARCT LT350ML SH C/12 NPAL</v>
      </c>
      <c r="I280" s="3" t="s">
        <v>493</v>
      </c>
      <c r="J28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1" spans="1:10" x14ac:dyDescent="0.25">
      <c r="A281">
        <v>280</v>
      </c>
      <c r="B281" s="1">
        <v>45831.3429861111</v>
      </c>
      <c r="C281" s="1">
        <v>45831.343680555598</v>
      </c>
      <c r="D281" s="3" t="s">
        <v>20</v>
      </c>
      <c r="E281" s="3" t="s">
        <v>21</v>
      </c>
      <c r="F281" s="3"/>
      <c r="G281" s="2">
        <v>9320</v>
      </c>
      <c r="H281" s="2" t="str">
        <f>VLOOKUP(G281,Produtos!A:B,2,FALSE)</f>
        <v>BRAHMA CHOPP LT 473ML SH C/12 NPAL</v>
      </c>
      <c r="I281" s="3" t="s">
        <v>493</v>
      </c>
      <c r="J28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2" spans="1:10" x14ac:dyDescent="0.25">
      <c r="A282">
        <v>281</v>
      </c>
      <c r="B282" s="1">
        <v>45831.3433912037</v>
      </c>
      <c r="C282" s="1">
        <v>45831.3438888889</v>
      </c>
      <c r="D282" s="3" t="s">
        <v>18</v>
      </c>
      <c r="E282" s="3" t="s">
        <v>21</v>
      </c>
      <c r="F282" s="3"/>
      <c r="G282" s="2">
        <v>12948</v>
      </c>
      <c r="H282" s="2" t="str">
        <f>VLOOKUP(G282,Produtos!A:B,2,FALSE)</f>
        <v>BRAHMA CHOPP ZERO LATA 350 SH CX C12 NPA</v>
      </c>
      <c r="I282" s="3" t="s">
        <v>493</v>
      </c>
      <c r="J28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3" spans="1:10" x14ac:dyDescent="0.25">
      <c r="A283">
        <v>282</v>
      </c>
      <c r="B283" s="1">
        <v>45831.464189814797</v>
      </c>
      <c r="C283" s="1">
        <v>45831.465231481503</v>
      </c>
      <c r="D283" s="3" t="s">
        <v>18</v>
      </c>
      <c r="E283" s="3" t="s">
        <v>21</v>
      </c>
      <c r="F283" s="3"/>
      <c r="G283" s="2">
        <v>12948</v>
      </c>
      <c r="H283" s="2" t="str">
        <f>VLOOKUP(G283,Produtos!A:B,2,FALSE)</f>
        <v>BRAHMA CHOPP ZERO LATA 350 SH CX C12 NPA</v>
      </c>
      <c r="I283" s="3" t="s">
        <v>493</v>
      </c>
      <c r="J28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4" spans="1:10" x14ac:dyDescent="0.25">
      <c r="A284">
        <v>283</v>
      </c>
      <c r="B284" s="1">
        <v>45831.465277777803</v>
      </c>
      <c r="C284" s="1">
        <v>45831.466296296298</v>
      </c>
      <c r="D284" s="3" t="s">
        <v>18</v>
      </c>
      <c r="E284" s="3" t="s">
        <v>21</v>
      </c>
      <c r="F284" s="3"/>
      <c r="G284" s="2">
        <v>9274</v>
      </c>
      <c r="H284" s="2" t="str">
        <f>VLOOKUP(G284,Produtos!A:B,2,FALSE)</f>
        <v>PEPSI ZERO LATA 350ML SH C/12 NPAL</v>
      </c>
      <c r="I284" s="3" t="s">
        <v>493</v>
      </c>
      <c r="J28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5" spans="1:10" x14ac:dyDescent="0.25">
      <c r="A285">
        <v>284</v>
      </c>
      <c r="B285" s="1">
        <v>45832.351909722202</v>
      </c>
      <c r="C285" s="1">
        <v>45832.352395833303</v>
      </c>
      <c r="D285" s="3" t="s">
        <v>20</v>
      </c>
      <c r="E285" s="3" t="s">
        <v>24</v>
      </c>
      <c r="F285" s="3"/>
      <c r="G285" s="2">
        <v>9069</v>
      </c>
      <c r="H285" s="2" t="str">
        <f>VLOOKUP(G285,Produtos!A:B,2,FALSE)</f>
        <v>BRAHMA CHOPP LATA 350ML SH C/12 NPAL</v>
      </c>
      <c r="I285" s="3" t="s">
        <v>500</v>
      </c>
      <c r="J28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6" spans="1:10" x14ac:dyDescent="0.25">
      <c r="A286">
        <v>285</v>
      </c>
      <c r="B286" s="1">
        <v>45832.356817129599</v>
      </c>
      <c r="C286" s="1">
        <v>45832.357581018499</v>
      </c>
      <c r="D286" s="3" t="s">
        <v>20</v>
      </c>
      <c r="E286" s="3" t="s">
        <v>24</v>
      </c>
      <c r="F286" s="3"/>
      <c r="G286" s="2">
        <v>9084</v>
      </c>
      <c r="H286" s="2" t="str">
        <f>VLOOKUP(G286,Produtos!A:B,2,FALSE)</f>
        <v>GUARANA CHP ANTARCT LT350ML SH C/12 NPAL</v>
      </c>
      <c r="I286" s="3" t="s">
        <v>493</v>
      </c>
      <c r="J28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7" spans="1:10" x14ac:dyDescent="0.25">
      <c r="A287">
        <v>286</v>
      </c>
      <c r="B287" s="1">
        <v>45832.365289351903</v>
      </c>
      <c r="C287" s="1">
        <v>45832.366145833301</v>
      </c>
      <c r="D287" s="3" t="s">
        <v>20</v>
      </c>
      <c r="E287" s="3" t="s">
        <v>24</v>
      </c>
      <c r="F287" s="3"/>
      <c r="G287" s="2">
        <v>9083</v>
      </c>
      <c r="H287" s="2" t="str">
        <f>VLOOKUP(G287,Produtos!A:B,2,FALSE)</f>
        <v>SKOL LT 473ML SH C/12 NPAL</v>
      </c>
      <c r="I287" s="3" t="s">
        <v>491</v>
      </c>
      <c r="J28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8" spans="1:10" x14ac:dyDescent="0.25">
      <c r="A288">
        <v>287</v>
      </c>
      <c r="B288" s="1">
        <v>45832.367719907401</v>
      </c>
      <c r="C288" s="1">
        <v>45832.368240740703</v>
      </c>
      <c r="D288" s="3" t="s">
        <v>20</v>
      </c>
      <c r="E288" s="3" t="s">
        <v>24</v>
      </c>
      <c r="F288" s="3"/>
      <c r="G288" s="2">
        <v>23216</v>
      </c>
      <c r="H288" s="2" t="str">
        <f>VLOOKUP(G288,Produtos!A:B,2,FALSE)</f>
        <v>PATAGONIA IPA LATA 473ML 6PACK CARTAO</v>
      </c>
      <c r="I288" s="3" t="s">
        <v>500</v>
      </c>
      <c r="J28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89" spans="1:10" x14ac:dyDescent="0.25">
      <c r="A289">
        <v>288</v>
      </c>
      <c r="B289" s="1">
        <v>45832.3698842593</v>
      </c>
      <c r="C289" s="1">
        <v>45832.370543981502</v>
      </c>
      <c r="D289" s="3" t="s">
        <v>20</v>
      </c>
      <c r="E289" s="3" t="s">
        <v>24</v>
      </c>
      <c r="F289" s="3"/>
      <c r="G289" s="2">
        <v>21658</v>
      </c>
      <c r="H289" s="2" t="str">
        <f>VLOOKUP(G289,Produtos!A:B,2,FALSE)</f>
        <v>SPATEN N LT SLEEK 350ML CX CART C12</v>
      </c>
      <c r="I289" s="3" t="s">
        <v>493</v>
      </c>
      <c r="J28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0" spans="1:10" x14ac:dyDescent="0.25">
      <c r="A290">
        <v>289</v>
      </c>
      <c r="B290" s="1">
        <v>45832.372696759303</v>
      </c>
      <c r="C290" s="1">
        <v>45832.3737847222</v>
      </c>
      <c r="D290" s="3" t="s">
        <v>20</v>
      </c>
      <c r="E290" s="3" t="s">
        <v>21</v>
      </c>
      <c r="F290" s="3"/>
      <c r="G290" s="2">
        <v>9068</v>
      </c>
      <c r="H290" s="2" t="str">
        <f>VLOOKUP(G290,Produtos!A:B,2,FALSE)</f>
        <v>SKOL LATA 350ML SH C/12 NPAL</v>
      </c>
      <c r="I290" s="3" t="s">
        <v>493</v>
      </c>
      <c r="J29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1" spans="1:10" x14ac:dyDescent="0.25">
      <c r="A291">
        <v>290</v>
      </c>
      <c r="B291" s="1">
        <v>45832.587361111102</v>
      </c>
      <c r="C291" s="1">
        <v>45832.588171296302</v>
      </c>
      <c r="D291" s="3" t="s">
        <v>18</v>
      </c>
      <c r="E291" s="3" t="s">
        <v>24</v>
      </c>
      <c r="F291" s="3"/>
      <c r="G291" s="2">
        <v>9085</v>
      </c>
      <c r="H291" s="2" t="str">
        <f>VLOOKUP(G291,Produtos!A:B,2,FALSE)</f>
        <v>GUARANA CHP ANTARCT DIET LT350ML SHC/12</v>
      </c>
      <c r="I291" s="3" t="s">
        <v>493</v>
      </c>
      <c r="J29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2" spans="1:10" x14ac:dyDescent="0.25">
      <c r="A292">
        <v>291</v>
      </c>
      <c r="B292" s="1">
        <v>45832.588194444397</v>
      </c>
      <c r="C292" s="1">
        <v>45832.588807870401</v>
      </c>
      <c r="D292" s="3" t="s">
        <v>18</v>
      </c>
      <c r="E292" s="3" t="s">
        <v>26</v>
      </c>
      <c r="F292" s="3"/>
      <c r="G292" s="2">
        <v>9084</v>
      </c>
      <c r="H292" s="2" t="str">
        <f>VLOOKUP(G292,Produtos!A:B,2,FALSE)</f>
        <v>GUARANA CHP ANTARCT LT350ML SH C/12 NPAL</v>
      </c>
      <c r="I292" s="3" t="s">
        <v>493</v>
      </c>
      <c r="J29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3" spans="1:10" x14ac:dyDescent="0.25">
      <c r="A293">
        <v>292</v>
      </c>
      <c r="B293" s="1">
        <v>45832.6250462963</v>
      </c>
      <c r="C293" s="1">
        <v>45832.625590277799</v>
      </c>
      <c r="D293" s="3" t="s">
        <v>18</v>
      </c>
      <c r="E293" s="3" t="s">
        <v>24</v>
      </c>
      <c r="F293" s="3"/>
      <c r="G293" s="2">
        <v>1164</v>
      </c>
      <c r="H293" s="2" t="str">
        <f>VLOOKUP(G293,Produtos!A:B,2,FALSE)</f>
        <v>SUKITA UVA LATA 350ML SH C/12 NPAL</v>
      </c>
      <c r="I293" s="3" t="s">
        <v>493</v>
      </c>
      <c r="J29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4" spans="1:10" x14ac:dyDescent="0.25">
      <c r="A294">
        <v>293</v>
      </c>
      <c r="B294" s="1">
        <v>45833.411898148101</v>
      </c>
      <c r="C294" s="1">
        <v>45833.4124884259</v>
      </c>
      <c r="D294" s="3" t="s">
        <v>20</v>
      </c>
      <c r="E294" s="3" t="s">
        <v>24</v>
      </c>
      <c r="F294" s="3"/>
      <c r="G294" s="2">
        <v>9084</v>
      </c>
      <c r="H294" s="2" t="str">
        <f>VLOOKUP(G294,Produtos!A:B,2,FALSE)</f>
        <v>GUARANA CHP ANTARCT LT350ML SH C/12 NPAL</v>
      </c>
      <c r="I294" s="3" t="s">
        <v>493</v>
      </c>
      <c r="J29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5" spans="1:10" x14ac:dyDescent="0.25">
      <c r="A295">
        <v>294</v>
      </c>
      <c r="B295" s="1">
        <v>45833.414687500001</v>
      </c>
      <c r="C295" s="1">
        <v>45833.415821759299</v>
      </c>
      <c r="D295" s="3" t="s">
        <v>20</v>
      </c>
      <c r="E295" s="3" t="s">
        <v>24</v>
      </c>
      <c r="F295" s="3"/>
      <c r="G295" s="2">
        <v>33818</v>
      </c>
      <c r="H295" s="2" t="str">
        <f>VLOOKUP(G295,Produtos!A:B,2,FALSE)</f>
        <v>ORIGINAL LT 350ML SH C/12 NP MULTIPACK</v>
      </c>
      <c r="I295" s="3" t="s">
        <v>493</v>
      </c>
      <c r="J29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6" spans="1:10" x14ac:dyDescent="0.25">
      <c r="A296">
        <v>295</v>
      </c>
      <c r="B296" s="1">
        <v>45833.418159722198</v>
      </c>
      <c r="C296" s="1">
        <v>45833.418865740699</v>
      </c>
      <c r="D296" s="3" t="s">
        <v>20</v>
      </c>
      <c r="E296" s="3" t="s">
        <v>24</v>
      </c>
      <c r="F296" s="3"/>
      <c r="G296" s="2">
        <v>8791</v>
      </c>
      <c r="H296" s="2" t="str">
        <f>VLOOKUP(G296,Produtos!A:B,2,FALSE)</f>
        <v>H2OH LIMAO C/GAS PET 500ML CAIXA C/12</v>
      </c>
      <c r="I296" s="3" t="s">
        <v>492</v>
      </c>
      <c r="J29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7" spans="1:10" x14ac:dyDescent="0.25">
      <c r="A297">
        <v>296</v>
      </c>
      <c r="B297" s="1">
        <v>45833.422060185199</v>
      </c>
      <c r="C297" s="1">
        <v>45833.423344907402</v>
      </c>
      <c r="D297" s="3" t="s">
        <v>18</v>
      </c>
      <c r="E297" s="3" t="s">
        <v>21</v>
      </c>
      <c r="F297" s="3"/>
      <c r="G297" s="2">
        <v>9085</v>
      </c>
      <c r="H297" s="2" t="str">
        <f>VLOOKUP(G297,Produtos!A:B,2,FALSE)</f>
        <v>GUARANA CHP ANTARCT DIET LT350ML SHC/12</v>
      </c>
      <c r="I297" s="3" t="s">
        <v>493</v>
      </c>
      <c r="J29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8" spans="1:10" x14ac:dyDescent="0.25">
      <c r="A298">
        <v>297</v>
      </c>
      <c r="B298" s="1">
        <v>45833.423368055599</v>
      </c>
      <c r="C298" s="1">
        <v>45833.424039351798</v>
      </c>
      <c r="D298" s="3" t="s">
        <v>18</v>
      </c>
      <c r="E298" s="3" t="s">
        <v>21</v>
      </c>
      <c r="F298" s="3"/>
      <c r="G298" s="2">
        <v>12948</v>
      </c>
      <c r="H298" s="2" t="str">
        <f>VLOOKUP(G298,Produtos!A:B,2,FALSE)</f>
        <v>BRAHMA CHOPP ZERO LATA 350 SH CX C12 NPA</v>
      </c>
      <c r="I298" s="3" t="s">
        <v>493</v>
      </c>
      <c r="J29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299" spans="1:10" x14ac:dyDescent="0.25">
      <c r="A299">
        <v>298</v>
      </c>
      <c r="B299" s="1">
        <v>45833.424050925903</v>
      </c>
      <c r="C299" s="1">
        <v>45833.424803240698</v>
      </c>
      <c r="D299" s="3" t="s">
        <v>18</v>
      </c>
      <c r="E299" s="3" t="s">
        <v>24</v>
      </c>
      <c r="F299" s="3"/>
      <c r="G299" s="2">
        <v>9096</v>
      </c>
      <c r="H299" s="2" t="str">
        <f>VLOOKUP(G299,Produtos!A:B,2,FALSE)</f>
        <v>PEPSI COLA LATA 350ML SH C/12 NPAL</v>
      </c>
      <c r="I299" s="3" t="s">
        <v>493</v>
      </c>
      <c r="J29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0" spans="1:10" x14ac:dyDescent="0.25">
      <c r="A300">
        <v>299</v>
      </c>
      <c r="B300" s="1">
        <v>45833.637384259302</v>
      </c>
      <c r="C300" s="1">
        <v>45833.638067129599</v>
      </c>
      <c r="D300" s="3" t="s">
        <v>22</v>
      </c>
      <c r="E300" s="3" t="s">
        <v>19</v>
      </c>
      <c r="F300" s="3"/>
      <c r="G300" s="3"/>
      <c r="H300" s="3" t="e">
        <f>VLOOKUP(G300,Produtos!A:B,2,FALSE)</f>
        <v>#N/A</v>
      </c>
      <c r="I300" s="3" t="s">
        <v>495</v>
      </c>
      <c r="J30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1" spans="1:10" x14ac:dyDescent="0.25">
      <c r="A301">
        <v>300</v>
      </c>
      <c r="B301" s="1">
        <v>45834.379745370403</v>
      </c>
      <c r="C301" s="1">
        <v>45834.380312499998</v>
      </c>
      <c r="D301" s="3" t="s">
        <v>20</v>
      </c>
      <c r="E301" s="3" t="s">
        <v>26</v>
      </c>
      <c r="F301" s="3"/>
      <c r="G301" s="2">
        <v>9084</v>
      </c>
      <c r="H301" s="2" t="str">
        <f>VLOOKUP(G301,Produtos!A:B,2,FALSE)</f>
        <v>GUARANA CHP ANTARCT LT350ML SH C/12 NPAL</v>
      </c>
      <c r="I301" s="3" t="s">
        <v>500</v>
      </c>
      <c r="J30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2" spans="1:10" x14ac:dyDescent="0.25">
      <c r="A302">
        <v>301</v>
      </c>
      <c r="B302" s="1">
        <v>45834.381747685198</v>
      </c>
      <c r="C302" s="1">
        <v>45834.382233796299</v>
      </c>
      <c r="D302" s="3" t="s">
        <v>20</v>
      </c>
      <c r="E302" s="3" t="s">
        <v>21</v>
      </c>
      <c r="F302" s="3"/>
      <c r="G302" s="2">
        <v>9084</v>
      </c>
      <c r="H302" s="2" t="str">
        <f>VLOOKUP(G302,Produtos!A:B,2,FALSE)</f>
        <v>GUARANA CHP ANTARCT LT350ML SH C/12 NPAL</v>
      </c>
      <c r="I302" s="3" t="s">
        <v>500</v>
      </c>
      <c r="J30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3" spans="1:10" x14ac:dyDescent="0.25">
      <c r="A303">
        <v>302</v>
      </c>
      <c r="B303" s="1">
        <v>45834.388877314799</v>
      </c>
      <c r="C303" s="1">
        <v>45834.389490740701</v>
      </c>
      <c r="D303" s="3" t="s">
        <v>18</v>
      </c>
      <c r="E303" s="3" t="s">
        <v>24</v>
      </c>
      <c r="F303" s="3"/>
      <c r="G303" s="2">
        <v>17808</v>
      </c>
      <c r="H303" s="2" t="str">
        <f>VLOOKUP(G303,Produtos!A:B,2,FALSE)</f>
        <v>BUDWEISER OW 330ML CX C 24</v>
      </c>
      <c r="I303" s="3" t="s">
        <v>493</v>
      </c>
      <c r="J30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4" spans="1:10" x14ac:dyDescent="0.25">
      <c r="A304">
        <v>303</v>
      </c>
      <c r="B304" s="1">
        <v>45834.389513888898</v>
      </c>
      <c r="C304" s="1">
        <v>45834.3900810185</v>
      </c>
      <c r="D304" s="3" t="s">
        <v>18</v>
      </c>
      <c r="E304" s="3" t="s">
        <v>24</v>
      </c>
      <c r="F304" s="3"/>
      <c r="G304" s="2">
        <v>9089</v>
      </c>
      <c r="H304" s="2" t="str">
        <f>VLOOKUP(G304,Produtos!A:B,2,FALSE)</f>
        <v>SUKITA LATA 350ML SH C/12 NPAL</v>
      </c>
      <c r="I304" s="3" t="s">
        <v>493</v>
      </c>
      <c r="J30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5" spans="1:10" x14ac:dyDescent="0.25">
      <c r="A305">
        <v>304</v>
      </c>
      <c r="B305" s="1">
        <v>45834.390104166698</v>
      </c>
      <c r="C305" s="1">
        <v>45834.390902777799</v>
      </c>
      <c r="D305" s="3" t="s">
        <v>18</v>
      </c>
      <c r="E305" s="3" t="s">
        <v>24</v>
      </c>
      <c r="F305" s="3"/>
      <c r="G305" s="2">
        <v>14340</v>
      </c>
      <c r="H305" s="2" t="str">
        <f>VLOOKUP(G305,Produtos!A:B,2,FALSE)</f>
        <v>ORIGINAL ONE WAY 300ML CX PAPELAO C/12</v>
      </c>
      <c r="I305" s="3" t="s">
        <v>493</v>
      </c>
      <c r="J30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6" spans="1:10" x14ac:dyDescent="0.25">
      <c r="A306">
        <v>305</v>
      </c>
      <c r="B306" s="1">
        <v>45834.390925925902</v>
      </c>
      <c r="C306" s="1">
        <v>45834.391643518502</v>
      </c>
      <c r="D306" s="3" t="s">
        <v>18</v>
      </c>
      <c r="E306" s="3" t="s">
        <v>21</v>
      </c>
      <c r="F306" s="3"/>
      <c r="G306" s="2">
        <v>9084</v>
      </c>
      <c r="H306" s="2" t="str">
        <f>VLOOKUP(G306,Produtos!A:B,2,FALSE)</f>
        <v>GUARANA CHP ANTARCT LT350ML SH C/12 NPAL</v>
      </c>
      <c r="I306" s="3" t="s">
        <v>493</v>
      </c>
      <c r="J30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7" spans="1:10" x14ac:dyDescent="0.25">
      <c r="A307">
        <v>306</v>
      </c>
      <c r="B307" s="1">
        <v>45835.2160532407</v>
      </c>
      <c r="C307" s="1">
        <v>45835.217465277798</v>
      </c>
      <c r="D307" s="3" t="s">
        <v>27</v>
      </c>
      <c r="E307" s="3" t="s">
        <v>26</v>
      </c>
      <c r="F307" s="3"/>
      <c r="G307" s="3"/>
      <c r="H307" s="3" t="e">
        <f>VLOOKUP(G307,Produtos!A:B,2,FALSE)</f>
        <v>#N/A</v>
      </c>
      <c r="I307" s="3" t="s">
        <v>495</v>
      </c>
      <c r="J30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8" spans="1:10" x14ac:dyDescent="0.25">
      <c r="A308">
        <v>307</v>
      </c>
      <c r="B308" s="1">
        <v>45835.217789351896</v>
      </c>
      <c r="C308" s="1">
        <v>45835.219340277799</v>
      </c>
      <c r="D308" s="3" t="s">
        <v>27</v>
      </c>
      <c r="E308" s="3" t="s">
        <v>24</v>
      </c>
      <c r="F308" s="3"/>
      <c r="G308" s="3"/>
      <c r="H308" s="3" t="e">
        <f>VLOOKUP(G308,Produtos!A:B,2,FALSE)</f>
        <v>#N/A</v>
      </c>
      <c r="I308" s="3" t="s">
        <v>495</v>
      </c>
      <c r="J30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09" spans="1:10" x14ac:dyDescent="0.25">
      <c r="A309">
        <v>308</v>
      </c>
      <c r="B309" s="1">
        <v>45835.2194212963</v>
      </c>
      <c r="C309" s="1">
        <v>45835.220891203702</v>
      </c>
      <c r="D309" s="3" t="s">
        <v>27</v>
      </c>
      <c r="E309" s="3" t="s">
        <v>24</v>
      </c>
      <c r="F309" s="3"/>
      <c r="G309" s="3"/>
      <c r="H309" s="3" t="e">
        <f>VLOOKUP(G309,Produtos!A:B,2,FALSE)</f>
        <v>#N/A</v>
      </c>
      <c r="I309" s="3" t="s">
        <v>495</v>
      </c>
      <c r="J30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0" spans="1:10" x14ac:dyDescent="0.25">
      <c r="A310">
        <v>309</v>
      </c>
      <c r="B310" s="1">
        <v>45835.389837962997</v>
      </c>
      <c r="C310" s="1">
        <v>45835.390393518501</v>
      </c>
      <c r="D310" s="3" t="s">
        <v>20</v>
      </c>
      <c r="E310" s="3" t="s">
        <v>21</v>
      </c>
      <c r="F310" s="3"/>
      <c r="G310" s="2">
        <v>9084</v>
      </c>
      <c r="H310" s="2" t="str">
        <f>VLOOKUP(G310,Produtos!A:B,2,FALSE)</f>
        <v>GUARANA CHP ANTARCT LT350ML SH C/12 NPAL</v>
      </c>
      <c r="I310" s="3" t="s">
        <v>491</v>
      </c>
      <c r="J31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1" spans="1:10" x14ac:dyDescent="0.25">
      <c r="A311">
        <v>310</v>
      </c>
      <c r="B311" s="1">
        <v>45835.449965277803</v>
      </c>
      <c r="C311" s="1">
        <v>45835.450567129599</v>
      </c>
      <c r="D311" s="3" t="s">
        <v>18</v>
      </c>
      <c r="E311" s="3" t="s">
        <v>24</v>
      </c>
      <c r="F311" s="3"/>
      <c r="G311" s="2">
        <v>9096</v>
      </c>
      <c r="H311" s="2" t="str">
        <f>VLOOKUP(G311,Produtos!A:B,2,FALSE)</f>
        <v>PEPSI COLA LATA 350ML SH C/12 NPAL</v>
      </c>
      <c r="I311" s="3" t="s">
        <v>493</v>
      </c>
      <c r="J31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2" spans="1:10" x14ac:dyDescent="0.25">
      <c r="A312">
        <v>311</v>
      </c>
      <c r="B312" s="1">
        <v>45835.450081018498</v>
      </c>
      <c r="C312" s="1">
        <v>45835.4506944444</v>
      </c>
      <c r="D312" s="3" t="s">
        <v>18</v>
      </c>
      <c r="E312" s="3" t="s">
        <v>24</v>
      </c>
      <c r="F312" s="3"/>
      <c r="G312" s="2">
        <v>9096</v>
      </c>
      <c r="H312" s="2" t="str">
        <f>VLOOKUP(G312,Produtos!A:B,2,FALSE)</f>
        <v>PEPSI COLA LATA 350ML SH C/12 NPAL</v>
      </c>
      <c r="I312" s="3" t="s">
        <v>493</v>
      </c>
      <c r="J31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3" spans="1:10" x14ac:dyDescent="0.25">
      <c r="A313">
        <v>312</v>
      </c>
      <c r="B313" s="1">
        <v>45835.618738425903</v>
      </c>
      <c r="C313" s="1">
        <v>45835.620949074102</v>
      </c>
      <c r="D313" s="3" t="s">
        <v>32</v>
      </c>
      <c r="E313" s="3" t="s">
        <v>19</v>
      </c>
      <c r="F313" s="3"/>
      <c r="G313" s="3"/>
      <c r="H313" s="3" t="e">
        <f>VLOOKUP(G313,Produtos!A:B,2,FALSE)</f>
        <v>#N/A</v>
      </c>
      <c r="I313" s="3"/>
      <c r="J31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4" spans="1:10" x14ac:dyDescent="0.25">
      <c r="A314">
        <v>313</v>
      </c>
      <c r="B314" s="1">
        <v>45835.840115740699</v>
      </c>
      <c r="C314" s="1">
        <v>45835.841249999998</v>
      </c>
      <c r="D314" s="3" t="s">
        <v>29</v>
      </c>
      <c r="E314" s="3" t="s">
        <v>16</v>
      </c>
      <c r="F314" s="3"/>
      <c r="G314" s="3"/>
      <c r="H314" s="3" t="e">
        <f>VLOOKUP(G314,Produtos!A:B,2,FALSE)</f>
        <v>#N/A</v>
      </c>
      <c r="I314" s="3" t="s">
        <v>498</v>
      </c>
      <c r="J314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5" spans="1:10" x14ac:dyDescent="0.25">
      <c r="A315">
        <v>314</v>
      </c>
      <c r="B315" s="1">
        <v>45836.281469907401</v>
      </c>
      <c r="C315" s="1">
        <v>45836.282002314802</v>
      </c>
      <c r="D315" s="3" t="s">
        <v>20</v>
      </c>
      <c r="E315" s="3" t="s">
        <v>24</v>
      </c>
      <c r="F315" s="3"/>
      <c r="G315" s="2">
        <v>9083</v>
      </c>
      <c r="H315" s="2" t="str">
        <f>VLOOKUP(G315,Produtos!A:B,2,FALSE)</f>
        <v>SKOL LT 473ML SH C/12 NPAL</v>
      </c>
      <c r="I315" s="3" t="s">
        <v>491</v>
      </c>
      <c r="J315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6" spans="1:10" x14ac:dyDescent="0.25">
      <c r="A316">
        <v>315</v>
      </c>
      <c r="B316" s="1">
        <v>45836.285196759301</v>
      </c>
      <c r="C316" s="1">
        <v>45836.285833333299</v>
      </c>
      <c r="D316" s="3" t="s">
        <v>20</v>
      </c>
      <c r="E316" s="3" t="s">
        <v>21</v>
      </c>
      <c r="F316" s="3"/>
      <c r="G316" s="2">
        <v>21666</v>
      </c>
      <c r="H316" s="2" t="str">
        <f>VLOOKUP(G316,Produtos!A:B,2,FALSE)</f>
        <v>RED BULL TROP BR LT 250ML FOUR PACK NPAL</v>
      </c>
      <c r="I316" s="3" t="s">
        <v>491</v>
      </c>
      <c r="J316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7" spans="1:10" x14ac:dyDescent="0.25">
      <c r="A317">
        <v>316</v>
      </c>
      <c r="B317" s="1">
        <v>45836.677662037</v>
      </c>
      <c r="C317" s="1">
        <v>45836.684016203697</v>
      </c>
      <c r="D317" s="3" t="s">
        <v>32</v>
      </c>
      <c r="E317" s="3" t="s">
        <v>16</v>
      </c>
      <c r="F317" s="3"/>
      <c r="G317" s="3"/>
      <c r="H317" s="3" t="e">
        <f>VLOOKUP(G317,Produtos!A:B,2,FALSE)</f>
        <v>#N/A</v>
      </c>
      <c r="I317" s="3"/>
      <c r="J317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8" spans="1:10" x14ac:dyDescent="0.25">
      <c r="A318">
        <v>317</v>
      </c>
      <c r="B318" s="1">
        <v>45838.334108796298</v>
      </c>
      <c r="C318" s="1">
        <v>45838.334652777798</v>
      </c>
      <c r="D318" s="3" t="s">
        <v>18</v>
      </c>
      <c r="E318" s="3" t="s">
        <v>26</v>
      </c>
      <c r="F318" s="3"/>
      <c r="G318" s="2">
        <v>17797</v>
      </c>
      <c r="H318" s="2" t="str">
        <f>VLOOKUP(G318,Produtos!A:B,2,FALSE)</f>
        <v>BRAHMA CHOPP LATA 350ML SH 18 MULTIPACK</v>
      </c>
      <c r="I318" s="3" t="s">
        <v>493</v>
      </c>
      <c r="J318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19" spans="1:10" x14ac:dyDescent="0.25">
      <c r="A319">
        <v>318</v>
      </c>
      <c r="B319" s="1">
        <v>45838.3346759259</v>
      </c>
      <c r="C319" s="1">
        <v>45838.335208333301</v>
      </c>
      <c r="D319" s="3" t="s">
        <v>18</v>
      </c>
      <c r="E319" s="3" t="s">
        <v>24</v>
      </c>
      <c r="F319" s="3"/>
      <c r="G319" s="2">
        <v>17797</v>
      </c>
      <c r="H319" s="2" t="str">
        <f>VLOOKUP(G319,Produtos!A:B,2,FALSE)</f>
        <v>BRAHMA CHOPP LATA 350ML SH 18 MULTIPACK</v>
      </c>
      <c r="I319" s="3" t="s">
        <v>493</v>
      </c>
      <c r="J319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0" spans="1:10" x14ac:dyDescent="0.25">
      <c r="A320">
        <v>319</v>
      </c>
      <c r="B320" s="1">
        <v>45838.3354861111</v>
      </c>
      <c r="C320" s="1">
        <v>45838.336018518501</v>
      </c>
      <c r="D320" s="3" t="s">
        <v>18</v>
      </c>
      <c r="E320" s="3" t="s">
        <v>24</v>
      </c>
      <c r="F320" s="3"/>
      <c r="G320" s="2">
        <v>9067</v>
      </c>
      <c r="H320" s="2" t="str">
        <f>VLOOKUP(G320,Produtos!A:B,2,FALSE)</f>
        <v>ANTARCTICA PILSEN LATA 350ML SH C/12 NPA</v>
      </c>
      <c r="I320" s="3" t="s">
        <v>493</v>
      </c>
      <c r="J320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1" spans="1:10" x14ac:dyDescent="0.25">
      <c r="A321">
        <v>320</v>
      </c>
      <c r="B321" s="1">
        <v>45838.337071759299</v>
      </c>
      <c r="C321" s="1">
        <v>45838.3376041667</v>
      </c>
      <c r="D321" s="3" t="s">
        <v>18</v>
      </c>
      <c r="E321" s="3" t="s">
        <v>24</v>
      </c>
      <c r="F321" s="3"/>
      <c r="G321" s="2">
        <v>9072</v>
      </c>
      <c r="H321" s="2" t="str">
        <f>VLOOKUP(G321,Produtos!A:B,2,FALSE)</f>
        <v>BOHEMIA NOVA EMBAL LT 350ML SH C/12 NPAL</v>
      </c>
      <c r="I321" s="3" t="s">
        <v>493</v>
      </c>
      <c r="J321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2" spans="1:10" x14ac:dyDescent="0.25">
      <c r="A322">
        <v>321</v>
      </c>
      <c r="B322" s="1">
        <v>45838.361180555599</v>
      </c>
      <c r="C322" s="1">
        <v>45838.3617592593</v>
      </c>
      <c r="D322" s="3" t="s">
        <v>20</v>
      </c>
      <c r="E322" s="3" t="s">
        <v>24</v>
      </c>
      <c r="F322" s="3"/>
      <c r="G322" s="2">
        <v>9083</v>
      </c>
      <c r="H322" s="2" t="str">
        <f>VLOOKUP(G322,Produtos!A:B,2,FALSE)</f>
        <v>SKOL LT 473ML SH C/12 NPAL</v>
      </c>
      <c r="I322" s="3" t="s">
        <v>491</v>
      </c>
      <c r="J322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3" spans="1:10" x14ac:dyDescent="0.25">
      <c r="A323">
        <v>322</v>
      </c>
      <c r="B323" s="1">
        <v>45838.364571759303</v>
      </c>
      <c r="C323" s="1">
        <v>45838.365150463003</v>
      </c>
      <c r="D323" s="3" t="s">
        <v>20</v>
      </c>
      <c r="E323" s="3" t="s">
        <v>26</v>
      </c>
      <c r="F323" s="3"/>
      <c r="G323" s="2">
        <v>19310</v>
      </c>
      <c r="H323" s="2" t="str">
        <f>VLOOKUP(G323,Produtos!A:B,2,FALSE)</f>
        <v>ORIGINAL LATA 350ML CX CARTAO C/12 NPAL</v>
      </c>
      <c r="I323" s="3" t="s">
        <v>491</v>
      </c>
      <c r="J323" s="1" t="str">
        <f>YEAR(Table1[[#This Row],[Hora de início]])&amp;"/"&amp;IF(MONTH(Table1[[#This Row],[Hora de início]])&lt;10,"0"&amp;MONTH(Table1[[#This Row],[Hora de início]]),MONTH(Table1[[#This Row],[Hora de início]]))</f>
        <v>2025/06</v>
      </c>
    </row>
    <row r="324" spans="1:10" x14ac:dyDescent="0.25">
      <c r="A324">
        <v>323</v>
      </c>
      <c r="B324" s="1">
        <v>45839.332337963002</v>
      </c>
      <c r="C324" s="1">
        <v>45839.3335069444</v>
      </c>
      <c r="D324" s="3" t="s">
        <v>20</v>
      </c>
      <c r="E324" s="3" t="s">
        <v>21</v>
      </c>
      <c r="F324" s="3"/>
      <c r="G324" s="2">
        <v>19310</v>
      </c>
      <c r="H324" s="2" t="str">
        <f>VLOOKUP(G324,Produtos!A:B,2,FALSE)</f>
        <v>ORIGINAL LATA 350ML CX CARTAO C/12 NPAL</v>
      </c>
      <c r="I324" s="3" t="s">
        <v>500</v>
      </c>
      <c r="J3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5" spans="1:10" x14ac:dyDescent="0.25">
      <c r="A325">
        <v>324</v>
      </c>
      <c r="B325" s="1">
        <v>45839.336412037002</v>
      </c>
      <c r="C325" s="1">
        <v>45839.337453703702</v>
      </c>
      <c r="D325" s="3" t="s">
        <v>20</v>
      </c>
      <c r="E325" s="3" t="s">
        <v>24</v>
      </c>
      <c r="F325" s="3"/>
      <c r="G325" s="2">
        <v>9068</v>
      </c>
      <c r="H325" s="2" t="str">
        <f>VLOOKUP(G325,Produtos!A:B,2,FALSE)</f>
        <v>SKOL LATA 350ML SH C/12 NPAL</v>
      </c>
      <c r="I325" s="3" t="s">
        <v>491</v>
      </c>
      <c r="J3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6" spans="1:10" x14ac:dyDescent="0.25">
      <c r="A326">
        <v>325</v>
      </c>
      <c r="B326" s="1">
        <v>45839.387824074103</v>
      </c>
      <c r="C326" s="1">
        <v>45839.388460648101</v>
      </c>
      <c r="D326" s="3" t="s">
        <v>18</v>
      </c>
      <c r="E326" s="3" t="s">
        <v>24</v>
      </c>
      <c r="F326" s="3"/>
      <c r="G326" s="2">
        <v>9093</v>
      </c>
      <c r="H326" s="2" t="str">
        <f>VLOOKUP(G326,Produtos!A:B,2,FALSE)</f>
        <v>PEPSI TWIST LATA 350ML SH C/12 NPAL</v>
      </c>
      <c r="I326" s="3" t="s">
        <v>493</v>
      </c>
      <c r="J3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7" spans="1:10" x14ac:dyDescent="0.25">
      <c r="A327">
        <v>326</v>
      </c>
      <c r="B327" s="1">
        <v>45839.388495370396</v>
      </c>
      <c r="C327" s="1">
        <v>45839.389178240701</v>
      </c>
      <c r="D327" s="3" t="s">
        <v>18</v>
      </c>
      <c r="E327" s="3" t="s">
        <v>21</v>
      </c>
      <c r="F327" s="3"/>
      <c r="G327" s="2">
        <v>1166</v>
      </c>
      <c r="H327" s="2" t="str">
        <f>VLOOKUP(G327,Produtos!A:B,2,FALSE)</f>
        <v>SUKITA UVA PET 2L CAIXA C/6</v>
      </c>
      <c r="I327" s="3" t="s">
        <v>493</v>
      </c>
      <c r="J3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8" spans="1:10" x14ac:dyDescent="0.25">
      <c r="A328">
        <v>327</v>
      </c>
      <c r="B328" s="1">
        <v>45839.3893171296</v>
      </c>
      <c r="C328" s="1">
        <v>45839.3903125</v>
      </c>
      <c r="D328" s="3" t="s">
        <v>18</v>
      </c>
      <c r="E328" s="3" t="s">
        <v>26</v>
      </c>
      <c r="F328" s="3"/>
      <c r="G328" s="2">
        <v>9067</v>
      </c>
      <c r="H328" s="2" t="str">
        <f>VLOOKUP(G328,Produtos!A:B,2,FALSE)</f>
        <v>ANTARCTICA PILSEN LATA 350ML SH C/12 NPA</v>
      </c>
      <c r="I328" s="3" t="s">
        <v>493</v>
      </c>
      <c r="J3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29" spans="1:10" x14ac:dyDescent="0.25">
      <c r="A329">
        <v>328</v>
      </c>
      <c r="B329" s="1">
        <v>45839.390451388899</v>
      </c>
      <c r="C329" s="1">
        <v>45839.391377314802</v>
      </c>
      <c r="D329" s="3" t="s">
        <v>18</v>
      </c>
      <c r="E329" s="3" t="s">
        <v>21</v>
      </c>
      <c r="F329" s="3"/>
      <c r="G329" s="2">
        <v>9085</v>
      </c>
      <c r="H329" s="2" t="str">
        <f>VLOOKUP(G329,Produtos!A:B,2,FALSE)</f>
        <v>GUARANA CHP ANTARCT DIET LT350ML SHC/12</v>
      </c>
      <c r="I329" s="3" t="s">
        <v>493</v>
      </c>
      <c r="J3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0" spans="1:10" x14ac:dyDescent="0.25">
      <c r="A330">
        <v>329</v>
      </c>
      <c r="B330" s="1">
        <v>45839.617430555598</v>
      </c>
      <c r="C330" s="1">
        <v>45839.619768518503</v>
      </c>
      <c r="D330" s="3" t="s">
        <v>32</v>
      </c>
      <c r="E330" s="3" t="s">
        <v>15</v>
      </c>
      <c r="F330" s="3"/>
      <c r="G330" s="3"/>
      <c r="H330" s="3" t="e">
        <f>VLOOKUP(G330,Produtos!A:B,2,FALSE)</f>
        <v>#N/A</v>
      </c>
      <c r="I330" s="3"/>
      <c r="J3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1" spans="1:10" x14ac:dyDescent="0.25">
      <c r="A331">
        <v>330</v>
      </c>
      <c r="B331" s="1">
        <v>45839.658391203702</v>
      </c>
      <c r="C331" s="1">
        <v>45839.665428240703</v>
      </c>
      <c r="D331" s="3" t="s">
        <v>37</v>
      </c>
      <c r="E331" s="3" t="s">
        <v>13</v>
      </c>
      <c r="F331" s="3"/>
      <c r="G331" s="3" t="s">
        <v>38</v>
      </c>
      <c r="H331" s="3" t="e">
        <f>VLOOKUP(G331,Produtos!A:B,2,FALSE)</f>
        <v>#N/A</v>
      </c>
      <c r="I331" s="3" t="s">
        <v>502</v>
      </c>
      <c r="J3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2" spans="1:10" x14ac:dyDescent="0.25">
      <c r="A332">
        <v>331</v>
      </c>
      <c r="B332" s="1">
        <v>45840.362615740698</v>
      </c>
      <c r="C332" s="1">
        <v>45840.363240740699</v>
      </c>
      <c r="D332" s="3" t="s">
        <v>20</v>
      </c>
      <c r="E332" s="3" t="s">
        <v>26</v>
      </c>
      <c r="F332" s="3"/>
      <c r="G332" s="2">
        <v>19225</v>
      </c>
      <c r="H332" s="2" t="str">
        <f>VLOOKUP(G332,Produtos!A:B,2,FALSE)</f>
        <v>RED BULL BR LATA 250ML CAIXA C/24</v>
      </c>
      <c r="I332" s="3" t="s">
        <v>491</v>
      </c>
      <c r="J3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3" spans="1:10" x14ac:dyDescent="0.25">
      <c r="A333">
        <v>332</v>
      </c>
      <c r="B333" s="1">
        <v>45840.363831018498</v>
      </c>
      <c r="C333" s="1">
        <v>45840.364363425899</v>
      </c>
      <c r="D333" s="3" t="s">
        <v>20</v>
      </c>
      <c r="E333" s="3" t="s">
        <v>26</v>
      </c>
      <c r="F333" s="3"/>
      <c r="G333" s="2">
        <v>19229</v>
      </c>
      <c r="H333" s="2" t="str">
        <f>VLOOKUP(G333,Produtos!A:B,2,FALSE)</f>
        <v>RED BULL BR LATA 250ML SIX PACK NPAL</v>
      </c>
      <c r="I333" s="3" t="s">
        <v>493</v>
      </c>
      <c r="J3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4" spans="1:10" x14ac:dyDescent="0.25">
      <c r="A334">
        <v>333</v>
      </c>
      <c r="B334" s="1">
        <v>45840.433530092603</v>
      </c>
      <c r="C334" s="1">
        <v>45840.434247685203</v>
      </c>
      <c r="D334" s="3" t="s">
        <v>18</v>
      </c>
      <c r="E334" s="3" t="s">
        <v>21</v>
      </c>
      <c r="F334" s="3"/>
      <c r="G334" s="2">
        <v>9084</v>
      </c>
      <c r="H334" s="2" t="str">
        <f>VLOOKUP(G334,Produtos!A:B,2,FALSE)</f>
        <v>GUARANA CHP ANTARCT LT350ML SH C/12 NPAL</v>
      </c>
      <c r="I334" s="3" t="s">
        <v>493</v>
      </c>
      <c r="J3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5" spans="1:10" x14ac:dyDescent="0.25">
      <c r="A335">
        <v>334</v>
      </c>
      <c r="B335" s="1">
        <v>45840.434282407397</v>
      </c>
      <c r="C335" s="1">
        <v>45840.434907407398</v>
      </c>
      <c r="D335" s="3" t="s">
        <v>18</v>
      </c>
      <c r="E335" s="3" t="s">
        <v>21</v>
      </c>
      <c r="F335" s="3"/>
      <c r="G335" s="2">
        <v>9068</v>
      </c>
      <c r="H335" s="2" t="str">
        <f>VLOOKUP(G335,Produtos!A:B,2,FALSE)</f>
        <v>SKOL LATA 350ML SH C/12 NPAL</v>
      </c>
      <c r="I335" s="3" t="s">
        <v>493</v>
      </c>
      <c r="J3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6" spans="1:10" x14ac:dyDescent="0.25">
      <c r="A336">
        <v>335</v>
      </c>
      <c r="B336" s="1">
        <v>45840.434930555602</v>
      </c>
      <c r="C336" s="1">
        <v>45840.4355671296</v>
      </c>
      <c r="D336" s="3" t="s">
        <v>18</v>
      </c>
      <c r="E336" s="3" t="s">
        <v>21</v>
      </c>
      <c r="F336" s="3"/>
      <c r="G336" s="2">
        <v>9320</v>
      </c>
      <c r="H336" s="2" t="str">
        <f>VLOOKUP(G336,Produtos!A:B,2,FALSE)</f>
        <v>BRAHMA CHOPP LT 473ML SH C/12 NPAL</v>
      </c>
      <c r="I336" s="3" t="s">
        <v>493</v>
      </c>
      <c r="J3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7" spans="1:10" x14ac:dyDescent="0.25">
      <c r="A337">
        <v>336</v>
      </c>
      <c r="B337" s="1">
        <v>45841.200393518498</v>
      </c>
      <c r="C337" s="1">
        <v>45841.201990740701</v>
      </c>
      <c r="D337" s="3" t="s">
        <v>27</v>
      </c>
      <c r="E337" s="3" t="s">
        <v>15</v>
      </c>
      <c r="F337" s="3"/>
      <c r="G337" s="3"/>
      <c r="H337" s="3" t="e">
        <f>VLOOKUP(G337,Produtos!A:B,2,FALSE)</f>
        <v>#N/A</v>
      </c>
      <c r="I337" s="3" t="s">
        <v>495</v>
      </c>
      <c r="J3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8" spans="1:10" x14ac:dyDescent="0.25">
      <c r="A338">
        <v>337</v>
      </c>
      <c r="B338" s="1">
        <v>45841.2020486111</v>
      </c>
      <c r="C338" s="1">
        <v>45841.203287037002</v>
      </c>
      <c r="D338" s="3" t="s">
        <v>27</v>
      </c>
      <c r="E338" s="3" t="s">
        <v>15</v>
      </c>
      <c r="F338" s="3"/>
      <c r="G338" s="3"/>
      <c r="H338" s="3" t="e">
        <f>VLOOKUP(G338,Produtos!A:B,2,FALSE)</f>
        <v>#N/A</v>
      </c>
      <c r="I338" s="3" t="s">
        <v>495</v>
      </c>
      <c r="J3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39" spans="1:10" x14ac:dyDescent="0.25">
      <c r="A339">
        <v>338</v>
      </c>
      <c r="B339" s="1">
        <v>45841.203414351803</v>
      </c>
      <c r="C339" s="1">
        <v>45841.205138888901</v>
      </c>
      <c r="D339" s="3" t="s">
        <v>27</v>
      </c>
      <c r="E339" s="3" t="s">
        <v>15</v>
      </c>
      <c r="F339" s="3"/>
      <c r="G339" s="3"/>
      <c r="H339" s="3" t="e">
        <f>VLOOKUP(G339,Produtos!A:B,2,FALSE)</f>
        <v>#N/A</v>
      </c>
      <c r="I339" s="3" t="s">
        <v>495</v>
      </c>
      <c r="J3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0" spans="1:10" x14ac:dyDescent="0.25">
      <c r="A340">
        <v>339</v>
      </c>
      <c r="B340" s="1">
        <v>45841.318078703698</v>
      </c>
      <c r="C340" s="1">
        <v>45841.318622685198</v>
      </c>
      <c r="D340" s="3" t="s">
        <v>20</v>
      </c>
      <c r="E340" s="3" t="s">
        <v>24</v>
      </c>
      <c r="F340" s="3"/>
      <c r="G340" s="2">
        <v>19310</v>
      </c>
      <c r="H340" s="2" t="str">
        <f>VLOOKUP(G340,Produtos!A:B,2,FALSE)</f>
        <v>ORIGINAL LATA 350ML CX CARTAO C/12 NPAL</v>
      </c>
      <c r="I340" s="3" t="s">
        <v>491</v>
      </c>
      <c r="J3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1" spans="1:10" x14ac:dyDescent="0.25">
      <c r="A341">
        <v>340</v>
      </c>
      <c r="B341" s="1">
        <v>45841.322685185201</v>
      </c>
      <c r="C341" s="1">
        <v>45841.323229166701</v>
      </c>
      <c r="D341" s="3" t="s">
        <v>20</v>
      </c>
      <c r="E341" s="3" t="s">
        <v>26</v>
      </c>
      <c r="F341" s="3"/>
      <c r="G341" s="2">
        <v>9084</v>
      </c>
      <c r="H341" s="2" t="str">
        <f>VLOOKUP(G341,Produtos!A:B,2,FALSE)</f>
        <v>GUARANA CHP ANTARCT LT350ML SH C/12 NPAL</v>
      </c>
      <c r="I341" s="3" t="s">
        <v>493</v>
      </c>
      <c r="J3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2" spans="1:10" x14ac:dyDescent="0.25">
      <c r="A342">
        <v>341</v>
      </c>
      <c r="B342" s="1">
        <v>45841.324629629598</v>
      </c>
      <c r="C342" s="1">
        <v>45841.325601851902</v>
      </c>
      <c r="D342" s="3" t="s">
        <v>20</v>
      </c>
      <c r="E342" s="3" t="s">
        <v>26</v>
      </c>
      <c r="F342" s="3"/>
      <c r="G342" s="2">
        <v>23269</v>
      </c>
      <c r="H342" s="2" t="str">
        <f>VLOOKUP(G342,Produtos!A:B,2,FALSE)</f>
        <v>SKOL BEATS GT LN 269ML SIX-PACK SH C/4</v>
      </c>
      <c r="I342" s="3" t="s">
        <v>496</v>
      </c>
      <c r="J3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3" spans="1:10" x14ac:dyDescent="0.25">
      <c r="A343">
        <v>342</v>
      </c>
      <c r="B343" s="1">
        <v>45841.345752314803</v>
      </c>
      <c r="C343" s="1">
        <v>45841.346400463</v>
      </c>
      <c r="D343" s="3" t="s">
        <v>18</v>
      </c>
      <c r="E343" s="3" t="s">
        <v>24</v>
      </c>
      <c r="F343" s="3"/>
      <c r="G343" s="2">
        <v>9072</v>
      </c>
      <c r="H343" s="2" t="str">
        <f>VLOOKUP(G343,Produtos!A:B,2,FALSE)</f>
        <v>BOHEMIA NOVA EMBAL LT 350ML SH C/12 NPAL</v>
      </c>
      <c r="I343" s="3" t="s">
        <v>493</v>
      </c>
      <c r="J3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4" spans="1:10" x14ac:dyDescent="0.25">
      <c r="A344">
        <v>343</v>
      </c>
      <c r="B344" s="1">
        <v>45841.346423611103</v>
      </c>
      <c r="C344" s="1">
        <v>45841.348495370403</v>
      </c>
      <c r="D344" s="3" t="s">
        <v>18</v>
      </c>
      <c r="E344" s="3" t="s">
        <v>24</v>
      </c>
      <c r="F344" s="3"/>
      <c r="G344" s="2">
        <v>21119</v>
      </c>
      <c r="H344" s="2" t="str">
        <f>VLOOKUP(G344,Produtos!A:B,2,FALSE)</f>
        <v>SKOL BEATS GT LT 269ML CX CAR C/8</v>
      </c>
      <c r="I344" s="3" t="s">
        <v>493</v>
      </c>
      <c r="J3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5" spans="1:10" x14ac:dyDescent="0.25">
      <c r="A345">
        <v>344</v>
      </c>
      <c r="B345" s="1">
        <v>45841.3485069444</v>
      </c>
      <c r="C345" s="1">
        <v>45841.349201388897</v>
      </c>
      <c r="D345" s="3" t="s">
        <v>18</v>
      </c>
      <c r="E345" s="3" t="s">
        <v>21</v>
      </c>
      <c r="F345" s="3"/>
      <c r="G345" s="2">
        <v>9084</v>
      </c>
      <c r="H345" s="2" t="str">
        <f>VLOOKUP(G345,Produtos!A:B,2,FALSE)</f>
        <v>GUARANA CHP ANTARCT LT350ML SH C/12 NPAL</v>
      </c>
      <c r="I345" s="3" t="s">
        <v>493</v>
      </c>
      <c r="J3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6" spans="1:10" x14ac:dyDescent="0.25">
      <c r="A346">
        <v>345</v>
      </c>
      <c r="B346" s="1">
        <v>45841.349212963003</v>
      </c>
      <c r="C346" s="1">
        <v>45841.349884259304</v>
      </c>
      <c r="D346" s="3" t="s">
        <v>18</v>
      </c>
      <c r="E346" s="3" t="s">
        <v>24</v>
      </c>
      <c r="F346" s="3"/>
      <c r="G346" s="2">
        <v>9081</v>
      </c>
      <c r="H346" s="2" t="str">
        <f>VLOOKUP(G346,Produtos!A:B,2,FALSE)</f>
        <v>MALZBIER BRAHMA LATA 350ML SH C/12 NPAL</v>
      </c>
      <c r="I346" s="3" t="s">
        <v>493</v>
      </c>
      <c r="J3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7" spans="1:10" x14ac:dyDescent="0.25">
      <c r="A347">
        <v>346</v>
      </c>
      <c r="B347" s="1">
        <v>45841.416261574101</v>
      </c>
      <c r="C347" s="1">
        <v>45841.418356481503</v>
      </c>
      <c r="D347" s="3" t="s">
        <v>23</v>
      </c>
      <c r="E347" s="3" t="s">
        <v>21</v>
      </c>
      <c r="F347" s="3"/>
      <c r="G347" s="2">
        <v>12948</v>
      </c>
      <c r="H347" s="2" t="str">
        <f>VLOOKUP(G347,Produtos!A:B,2,FALSE)</f>
        <v>BRAHMA CHOPP ZERO LATA 350 SH CX C12 NPA</v>
      </c>
      <c r="I347" s="3" t="s">
        <v>493</v>
      </c>
      <c r="J3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8" spans="1:10" x14ac:dyDescent="0.25">
      <c r="A348">
        <v>347</v>
      </c>
      <c r="B348" s="1">
        <v>45841.418553240699</v>
      </c>
      <c r="C348" s="1">
        <v>45841.4199884259</v>
      </c>
      <c r="D348" s="3" t="s">
        <v>23</v>
      </c>
      <c r="E348" s="3" t="s">
        <v>21</v>
      </c>
      <c r="F348" s="3"/>
      <c r="G348" s="2">
        <v>21020</v>
      </c>
      <c r="H348" s="2" t="str">
        <f>VLOOKUP(G348,Produtos!A:B,2,FALSE)</f>
        <v>BUDWEISER LT SLEEK 350ML CX CART C12</v>
      </c>
      <c r="I348" s="3" t="s">
        <v>493</v>
      </c>
      <c r="J3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49" spans="1:10" x14ac:dyDescent="0.25">
      <c r="A349">
        <v>348</v>
      </c>
      <c r="B349" s="1">
        <v>45841.4202083333</v>
      </c>
      <c r="C349" s="1">
        <v>45841.421747685199</v>
      </c>
      <c r="D349" s="3" t="s">
        <v>23</v>
      </c>
      <c r="E349" s="3" t="s">
        <v>26</v>
      </c>
      <c r="F349" s="3"/>
      <c r="G349" s="3"/>
      <c r="H349" s="3" t="e">
        <f>VLOOKUP(G349,Produtos!A:B,2,FALSE)</f>
        <v>#N/A</v>
      </c>
      <c r="I349" s="3" t="s">
        <v>495</v>
      </c>
      <c r="J3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0" spans="1:10" x14ac:dyDescent="0.25">
      <c r="A350">
        <v>349</v>
      </c>
      <c r="B350" s="1">
        <v>45842.305520833303</v>
      </c>
      <c r="C350" s="1">
        <v>45842.306134259299</v>
      </c>
      <c r="D350" s="3" t="s">
        <v>20</v>
      </c>
      <c r="E350" s="3" t="s">
        <v>21</v>
      </c>
      <c r="F350" s="3"/>
      <c r="G350" s="2">
        <v>12948</v>
      </c>
      <c r="H350" s="2" t="str">
        <f>VLOOKUP(G350,Produtos!A:B,2,FALSE)</f>
        <v>BRAHMA CHOPP ZERO LATA 350 SH CX C12 NPA</v>
      </c>
      <c r="I350" s="3" t="s">
        <v>491</v>
      </c>
      <c r="J3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1" spans="1:10" x14ac:dyDescent="0.25">
      <c r="A351">
        <v>350</v>
      </c>
      <c r="B351" s="1">
        <v>45842.308784722198</v>
      </c>
      <c r="C351" s="1">
        <v>45842.309236111098</v>
      </c>
      <c r="D351" s="3" t="s">
        <v>20</v>
      </c>
      <c r="E351" s="3" t="s">
        <v>24</v>
      </c>
      <c r="F351" s="3"/>
      <c r="G351" s="2">
        <v>9072</v>
      </c>
      <c r="H351" s="2" t="str">
        <f>VLOOKUP(G351,Produtos!A:B,2,FALSE)</f>
        <v>BOHEMIA NOVA EMBAL LT 350ML SH C/12 NPAL</v>
      </c>
      <c r="I351" s="3" t="s">
        <v>493</v>
      </c>
      <c r="J3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2" spans="1:10" x14ac:dyDescent="0.25">
      <c r="A352">
        <v>351</v>
      </c>
      <c r="B352" s="1">
        <v>45842.314583333296</v>
      </c>
      <c r="C352" s="1">
        <v>45842.315312500003</v>
      </c>
      <c r="D352" s="3" t="s">
        <v>20</v>
      </c>
      <c r="E352" s="3" t="s">
        <v>34</v>
      </c>
      <c r="F352" s="3"/>
      <c r="G352" s="2">
        <v>2349</v>
      </c>
      <c r="H352" s="2" t="str">
        <f>VLOOKUP(G352,Produtos!A:B,2,FALSE)</f>
        <v>GUARANA CHP ANTARCTICA PET 2L CAIXA C/6</v>
      </c>
      <c r="I352" s="3" t="s">
        <v>491</v>
      </c>
      <c r="J3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3" spans="1:10" x14ac:dyDescent="0.25">
      <c r="A353">
        <v>352</v>
      </c>
      <c r="B353" s="1">
        <v>45842.324699074103</v>
      </c>
      <c r="C353" s="1">
        <v>45842.325393518498</v>
      </c>
      <c r="D353" s="3" t="s">
        <v>18</v>
      </c>
      <c r="E353" s="3" t="s">
        <v>24</v>
      </c>
      <c r="F353" s="3"/>
      <c r="G353" s="2">
        <v>33818</v>
      </c>
      <c r="H353" s="2" t="str">
        <f>VLOOKUP(G353,Produtos!A:B,2,FALSE)</f>
        <v>ORIGINAL LT 350ML SH C/12 NP MULTIPACK</v>
      </c>
      <c r="I353" s="3" t="s">
        <v>493</v>
      </c>
      <c r="J3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4" spans="1:10" x14ac:dyDescent="0.25">
      <c r="A354">
        <v>353</v>
      </c>
      <c r="B354" s="1">
        <v>45842.325659722199</v>
      </c>
      <c r="C354" s="1">
        <v>45842.326122685197</v>
      </c>
      <c r="D354" s="3" t="s">
        <v>18</v>
      </c>
      <c r="E354" s="3" t="s">
        <v>24</v>
      </c>
      <c r="F354" s="3"/>
      <c r="G354" s="2">
        <v>9068</v>
      </c>
      <c r="H354" s="2" t="str">
        <f>VLOOKUP(G354,Produtos!A:B,2,FALSE)</f>
        <v>SKOL LATA 350ML SH C/12 NPAL</v>
      </c>
      <c r="I354" s="3" t="s">
        <v>493</v>
      </c>
      <c r="J3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5" spans="1:10" x14ac:dyDescent="0.25">
      <c r="A355">
        <v>354</v>
      </c>
      <c r="B355" s="1">
        <v>45842.327696759297</v>
      </c>
      <c r="C355" s="1">
        <v>45842.329108796301</v>
      </c>
      <c r="D355" s="3" t="s">
        <v>18</v>
      </c>
      <c r="E355" s="3" t="s">
        <v>24</v>
      </c>
      <c r="F355" s="3"/>
      <c r="G355" s="2">
        <v>17797</v>
      </c>
      <c r="H355" s="2" t="str">
        <f>VLOOKUP(G355,Produtos!A:B,2,FALSE)</f>
        <v>BRAHMA CHOPP LATA 350ML SH 18 MULTIPACK</v>
      </c>
      <c r="I355" s="3" t="s">
        <v>493</v>
      </c>
      <c r="J3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6" spans="1:10" x14ac:dyDescent="0.25">
      <c r="A356">
        <v>355</v>
      </c>
      <c r="B356" s="1">
        <v>45842.3898148148</v>
      </c>
      <c r="C356" s="1">
        <v>45842.390416666698</v>
      </c>
      <c r="D356" s="3" t="s">
        <v>18</v>
      </c>
      <c r="E356" s="3" t="s">
        <v>24</v>
      </c>
      <c r="F356" s="3"/>
      <c r="G356" s="2">
        <v>1164</v>
      </c>
      <c r="H356" s="2" t="str">
        <f>VLOOKUP(G356,Produtos!A:B,2,FALSE)</f>
        <v>SUKITA UVA LATA 350ML SH C/12 NPAL</v>
      </c>
      <c r="I356" s="3" t="s">
        <v>493</v>
      </c>
      <c r="J3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7" spans="1:10" x14ac:dyDescent="0.25">
      <c r="A357">
        <v>356</v>
      </c>
      <c r="B357" s="1">
        <v>45842.390428240702</v>
      </c>
      <c r="C357" s="1">
        <v>45842.391111111101</v>
      </c>
      <c r="D357" s="3" t="s">
        <v>18</v>
      </c>
      <c r="E357" s="3" t="s">
        <v>24</v>
      </c>
      <c r="F357" s="3"/>
      <c r="G357" s="2">
        <v>9081</v>
      </c>
      <c r="H357" s="2" t="str">
        <f>VLOOKUP(G357,Produtos!A:B,2,FALSE)</f>
        <v>MALZBIER BRAHMA LATA 350ML SH C/12 NPAL</v>
      </c>
      <c r="I357" s="3" t="s">
        <v>493</v>
      </c>
      <c r="J3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8" spans="1:10" x14ac:dyDescent="0.25">
      <c r="A358">
        <v>357</v>
      </c>
      <c r="B358" s="1">
        <v>45842.403495370403</v>
      </c>
      <c r="C358" s="1">
        <v>45842.404085648101</v>
      </c>
      <c r="D358" s="3" t="s">
        <v>20</v>
      </c>
      <c r="E358" s="3" t="s">
        <v>24</v>
      </c>
      <c r="F358" s="3"/>
      <c r="G358" s="2">
        <v>253</v>
      </c>
      <c r="H358" s="2" t="str">
        <f>VLOOKUP(G358,Produtos!A:B,2,FALSE)</f>
        <v>SUKITA PET 1L CAIXA C/6</v>
      </c>
      <c r="I358" s="3" t="s">
        <v>491</v>
      </c>
      <c r="J3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59" spans="1:10" x14ac:dyDescent="0.25">
      <c r="A359">
        <v>358</v>
      </c>
      <c r="B359" s="1">
        <v>45842.405729166698</v>
      </c>
      <c r="C359" s="1">
        <v>45842.406817129602</v>
      </c>
      <c r="D359" s="3" t="s">
        <v>20</v>
      </c>
      <c r="E359" s="3" t="s">
        <v>24</v>
      </c>
      <c r="F359" s="3"/>
      <c r="G359" s="2">
        <v>1166</v>
      </c>
      <c r="H359" s="2" t="str">
        <f>VLOOKUP(G359,Produtos!A:B,2,FALSE)</f>
        <v>SUKITA UVA PET 2L CAIXA C/6</v>
      </c>
      <c r="I359" s="3" t="s">
        <v>493</v>
      </c>
      <c r="J3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0" spans="1:10" x14ac:dyDescent="0.25">
      <c r="A360">
        <v>359</v>
      </c>
      <c r="B360" s="1">
        <v>45842.409259259301</v>
      </c>
      <c r="C360" s="1">
        <v>45842.410358796304</v>
      </c>
      <c r="D360" s="3" t="s">
        <v>20</v>
      </c>
      <c r="E360" s="3" t="s">
        <v>26</v>
      </c>
      <c r="F360" s="3"/>
      <c r="G360" s="2">
        <v>33818</v>
      </c>
      <c r="H360" s="2" t="str">
        <f>VLOOKUP(G360,Produtos!A:B,2,FALSE)</f>
        <v>ORIGINAL LT 350ML SH C/12 NP MULTIPACK</v>
      </c>
      <c r="I360" s="3" t="s">
        <v>493</v>
      </c>
      <c r="J3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1" spans="1:10" x14ac:dyDescent="0.25">
      <c r="A361">
        <v>360</v>
      </c>
      <c r="B361" s="1">
        <v>45842.845798611103</v>
      </c>
      <c r="C361" s="1">
        <v>45842.8491782407</v>
      </c>
      <c r="D361" s="3" t="s">
        <v>37</v>
      </c>
      <c r="E361" s="3" t="s">
        <v>13</v>
      </c>
      <c r="F361" s="3"/>
      <c r="G361" s="3" t="s">
        <v>39</v>
      </c>
      <c r="H361" s="3" t="e">
        <f>VLOOKUP(G361,Produtos!A:B,2,FALSE)</f>
        <v>#N/A</v>
      </c>
      <c r="I361" s="3" t="s">
        <v>497</v>
      </c>
      <c r="J3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2" spans="1:10" x14ac:dyDescent="0.25">
      <c r="A362">
        <v>361</v>
      </c>
      <c r="B362" s="1">
        <v>45845.330092592601</v>
      </c>
      <c r="C362" s="1">
        <v>45845.330682870401</v>
      </c>
      <c r="D362" s="3" t="s">
        <v>20</v>
      </c>
      <c r="E362" s="3" t="s">
        <v>24</v>
      </c>
      <c r="F362" s="3"/>
      <c r="G362" s="2">
        <v>1166</v>
      </c>
      <c r="H362" s="2" t="str">
        <f>VLOOKUP(G362,Produtos!A:B,2,FALSE)</f>
        <v>SUKITA UVA PET 2L CAIXA C/6</v>
      </c>
      <c r="I362" s="3" t="s">
        <v>492</v>
      </c>
      <c r="J3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3" spans="1:10" x14ac:dyDescent="0.25">
      <c r="A363">
        <v>362</v>
      </c>
      <c r="B363" s="1">
        <v>45845.333043981504</v>
      </c>
      <c r="C363" s="1">
        <v>45845.334641203699</v>
      </c>
      <c r="D363" s="3" t="s">
        <v>20</v>
      </c>
      <c r="E363" s="3" t="s">
        <v>24</v>
      </c>
      <c r="F363" s="3"/>
      <c r="G363" s="2">
        <v>22177</v>
      </c>
      <c r="H363" s="2" t="str">
        <f>VLOOKUP(G363,Produtos!A:B,2,FALSE)</f>
        <v>BUDWEISER ZERO LT SLEEK 350ML C8 CX CART</v>
      </c>
      <c r="I363" s="3" t="s">
        <v>491</v>
      </c>
      <c r="J3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4" spans="1:10" x14ac:dyDescent="0.25">
      <c r="A364">
        <v>363</v>
      </c>
      <c r="B364" s="1">
        <v>45845.59</v>
      </c>
      <c r="C364" s="1">
        <v>45845.590532407397</v>
      </c>
      <c r="D364" s="3" t="s">
        <v>18</v>
      </c>
      <c r="E364" s="3" t="s">
        <v>24</v>
      </c>
      <c r="F364" s="3"/>
      <c r="G364" s="2">
        <v>14135</v>
      </c>
      <c r="H364" s="2" t="str">
        <f>VLOOKUP(G364,Produtos!A:B,2,FALSE)</f>
        <v>BUDWEISER LT 473ML SIX-PACK SH C/2 NPAL</v>
      </c>
      <c r="I364" s="3" t="s">
        <v>493</v>
      </c>
      <c r="J3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5" spans="1:10" x14ac:dyDescent="0.25">
      <c r="A365">
        <v>364</v>
      </c>
      <c r="B365" s="1">
        <v>45845.590115740699</v>
      </c>
      <c r="C365" s="1">
        <v>45845.5906481481</v>
      </c>
      <c r="D365" s="3" t="s">
        <v>18</v>
      </c>
      <c r="E365" s="3" t="s">
        <v>24</v>
      </c>
      <c r="F365" s="3"/>
      <c r="G365" s="2">
        <v>14135</v>
      </c>
      <c r="H365" s="2" t="str">
        <f>VLOOKUP(G365,Produtos!A:B,2,FALSE)</f>
        <v>BUDWEISER LT 473ML SIX-PACK SH C/2 NPAL</v>
      </c>
      <c r="I365" s="3" t="s">
        <v>493</v>
      </c>
      <c r="J3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6" spans="1:10" x14ac:dyDescent="0.25">
      <c r="A366">
        <v>365</v>
      </c>
      <c r="B366" s="1">
        <v>45845.864340277803</v>
      </c>
      <c r="C366" s="1">
        <v>45845.865046296298</v>
      </c>
      <c r="D366" s="3" t="s">
        <v>29</v>
      </c>
      <c r="E366" s="3" t="s">
        <v>15</v>
      </c>
      <c r="F366" s="3"/>
      <c r="G366" s="3"/>
      <c r="H366" s="3" t="e">
        <f>VLOOKUP(G366,Produtos!A:B,2,FALSE)</f>
        <v>#N/A</v>
      </c>
      <c r="I366" s="3" t="s">
        <v>505</v>
      </c>
      <c r="J3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7" spans="1:10" x14ac:dyDescent="0.25">
      <c r="A367">
        <v>366</v>
      </c>
      <c r="B367" s="1">
        <v>45846.649467592601</v>
      </c>
      <c r="C367" s="1">
        <v>45846.650115740696</v>
      </c>
      <c r="D367" s="3" t="s">
        <v>18</v>
      </c>
      <c r="E367" s="3" t="s">
        <v>24</v>
      </c>
      <c r="F367" s="3"/>
      <c r="G367" s="2">
        <v>20651</v>
      </c>
      <c r="H367" s="2" t="str">
        <f>VLOOKUP(G367,Produtos!A:B,2,FALSE)</f>
        <v>CORONA N LT SLEEK 350ML CX 8</v>
      </c>
      <c r="I367" s="3" t="s">
        <v>493</v>
      </c>
      <c r="J3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8" spans="1:10" x14ac:dyDescent="0.25">
      <c r="A368">
        <v>367</v>
      </c>
      <c r="B368" s="1">
        <v>45846.650625000002</v>
      </c>
      <c r="C368" s="1">
        <v>45846.651145833297</v>
      </c>
      <c r="D368" s="3" t="s">
        <v>18</v>
      </c>
      <c r="E368" s="3" t="s">
        <v>24</v>
      </c>
      <c r="F368" s="3"/>
      <c r="G368" s="2">
        <v>18490</v>
      </c>
      <c r="H368" s="2" t="str">
        <f>VLOOKUP(G368,Produtos!A:B,2,FALSE)</f>
        <v>PATAGONIA AMB LAG NAC LATA 473ML 6PACK</v>
      </c>
      <c r="I368" s="3" t="s">
        <v>493</v>
      </c>
      <c r="J3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69" spans="1:10" x14ac:dyDescent="0.25">
      <c r="A369">
        <v>368</v>
      </c>
      <c r="B369" s="1">
        <v>45847.418842592597</v>
      </c>
      <c r="C369" s="1">
        <v>45847.419652777797</v>
      </c>
      <c r="D369" s="3" t="s">
        <v>20</v>
      </c>
      <c r="E369" s="3" t="s">
        <v>24</v>
      </c>
      <c r="F369" s="3"/>
      <c r="G369" s="2">
        <v>9274</v>
      </c>
      <c r="H369" s="2" t="str">
        <f>VLOOKUP(G369,Produtos!A:B,2,FALSE)</f>
        <v>PEPSI ZERO LATA 350ML SH C/12 NPAL</v>
      </c>
      <c r="I369" s="3" t="s">
        <v>491</v>
      </c>
      <c r="J3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0" spans="1:10" x14ac:dyDescent="0.25">
      <c r="A370">
        <v>369</v>
      </c>
      <c r="B370" s="1">
        <v>45847.422916666699</v>
      </c>
      <c r="C370" s="1">
        <v>45847.423796296302</v>
      </c>
      <c r="D370" s="3" t="s">
        <v>20</v>
      </c>
      <c r="E370" s="3" t="s">
        <v>24</v>
      </c>
      <c r="F370" s="3"/>
      <c r="G370" s="2">
        <v>9083</v>
      </c>
      <c r="H370" s="2" t="str">
        <f>VLOOKUP(G370,Produtos!A:B,2,FALSE)</f>
        <v>SKOL LT 473ML SH C/12 NPAL</v>
      </c>
      <c r="I370" s="3" t="s">
        <v>491</v>
      </c>
      <c r="J3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1" spans="1:10" x14ac:dyDescent="0.25">
      <c r="A371">
        <v>370</v>
      </c>
      <c r="B371" s="1">
        <v>45847.449108796303</v>
      </c>
      <c r="C371" s="1">
        <v>45847.449768518498</v>
      </c>
      <c r="D371" s="3" t="s">
        <v>20</v>
      </c>
      <c r="E371" s="3" t="s">
        <v>24</v>
      </c>
      <c r="F371" s="3"/>
      <c r="G371" s="2">
        <v>19229</v>
      </c>
      <c r="H371" s="2" t="str">
        <f>VLOOKUP(G371,Produtos!A:B,2,FALSE)</f>
        <v>RED BULL BR LATA 250ML SIX PACK NPAL</v>
      </c>
      <c r="I371" s="3" t="s">
        <v>493</v>
      </c>
      <c r="J3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2" spans="1:10" x14ac:dyDescent="0.25">
      <c r="A372">
        <v>371</v>
      </c>
      <c r="B372" s="1">
        <v>45847.4514583333</v>
      </c>
      <c r="C372" s="1">
        <v>45847.452187499999</v>
      </c>
      <c r="D372" s="3" t="s">
        <v>20</v>
      </c>
      <c r="E372" s="3" t="s">
        <v>26</v>
      </c>
      <c r="F372" s="3"/>
      <c r="G372" s="2">
        <v>9091</v>
      </c>
      <c r="H372" s="2" t="str">
        <f>VLOOKUP(G372,Produtos!A:B,2,FALSE)</f>
        <v>TONICA ANTARCTICA LT 350ML SH C/12 NPAL</v>
      </c>
      <c r="I372" s="3" t="s">
        <v>493</v>
      </c>
      <c r="J3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3" spans="1:10" x14ac:dyDescent="0.25">
      <c r="A373">
        <v>372</v>
      </c>
      <c r="B373" s="1">
        <v>45847.4542013889</v>
      </c>
      <c r="C373" s="1">
        <v>45847.454733796301</v>
      </c>
      <c r="D373" s="3" t="s">
        <v>20</v>
      </c>
      <c r="E373" s="3" t="s">
        <v>21</v>
      </c>
      <c r="F373" s="3"/>
      <c r="G373" s="2">
        <v>9320</v>
      </c>
      <c r="H373" s="2" t="str">
        <f>VLOOKUP(G373,Produtos!A:B,2,FALSE)</f>
        <v>BRAHMA CHOPP LT 473ML SH C/12 NPAL</v>
      </c>
      <c r="I373" s="3" t="s">
        <v>491</v>
      </c>
      <c r="J3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4" spans="1:10" x14ac:dyDescent="0.25">
      <c r="A374">
        <v>373</v>
      </c>
      <c r="B374" s="1">
        <v>45847.456990740699</v>
      </c>
      <c r="C374" s="1">
        <v>45847.457638888904</v>
      </c>
      <c r="D374" s="3" t="s">
        <v>20</v>
      </c>
      <c r="E374" s="3" t="s">
        <v>24</v>
      </c>
      <c r="F374" s="3"/>
      <c r="G374" s="2">
        <v>9085</v>
      </c>
      <c r="H374" s="2" t="str">
        <f>VLOOKUP(G374,Produtos!A:B,2,FALSE)</f>
        <v>GUARANA CHP ANTARCT DIET LT350ML SHC/12</v>
      </c>
      <c r="I374" s="3" t="s">
        <v>491</v>
      </c>
      <c r="J3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5" spans="1:10" x14ac:dyDescent="0.25">
      <c r="A375">
        <v>374</v>
      </c>
      <c r="B375" s="1">
        <v>45847.602592592601</v>
      </c>
      <c r="C375" s="1">
        <v>45847.6030902778</v>
      </c>
      <c r="D375" s="3" t="s">
        <v>18</v>
      </c>
      <c r="E375" s="3" t="s">
        <v>21</v>
      </c>
      <c r="F375" s="3"/>
      <c r="G375" s="2">
        <v>9320</v>
      </c>
      <c r="H375" s="2" t="str">
        <f>VLOOKUP(G375,Produtos!A:B,2,FALSE)</f>
        <v>BRAHMA CHOPP LT 473ML SH C/12 NPAL</v>
      </c>
      <c r="I375" s="3" t="s">
        <v>493</v>
      </c>
      <c r="J3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6" spans="1:10" x14ac:dyDescent="0.25">
      <c r="A376">
        <v>375</v>
      </c>
      <c r="B376" s="1">
        <v>45847.603171296301</v>
      </c>
      <c r="C376" s="1">
        <v>45847.603796296302</v>
      </c>
      <c r="D376" s="3" t="s">
        <v>18</v>
      </c>
      <c r="E376" s="3" t="s">
        <v>21</v>
      </c>
      <c r="F376" s="3"/>
      <c r="G376" s="2">
        <v>9320</v>
      </c>
      <c r="H376" s="2" t="str">
        <f>VLOOKUP(G376,Produtos!A:B,2,FALSE)</f>
        <v>BRAHMA CHOPP LT 473ML SH C/12 NPAL</v>
      </c>
      <c r="I376" s="3" t="s">
        <v>493</v>
      </c>
      <c r="J3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7" spans="1:10" x14ac:dyDescent="0.25">
      <c r="A377">
        <v>376</v>
      </c>
      <c r="B377" s="1">
        <v>45847.671365740702</v>
      </c>
      <c r="C377" s="1">
        <v>45847.672708333303</v>
      </c>
      <c r="D377" s="3" t="s">
        <v>40</v>
      </c>
      <c r="E377" s="3" t="s">
        <v>24</v>
      </c>
      <c r="F377" s="3"/>
      <c r="G377" s="2">
        <v>22177</v>
      </c>
      <c r="H377" s="2" t="str">
        <f>VLOOKUP(G377,Produtos!A:B,2,FALSE)</f>
        <v>BUDWEISER ZERO LT SLEEK 350ML C8 CX CART</v>
      </c>
      <c r="I377" s="3" t="s">
        <v>491</v>
      </c>
      <c r="J3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8" spans="1:10" x14ac:dyDescent="0.25">
      <c r="A378">
        <v>377</v>
      </c>
      <c r="B378" s="1">
        <v>45847.6727314815</v>
      </c>
      <c r="C378" s="1">
        <v>45847.673611111102</v>
      </c>
      <c r="D378" s="3" t="s">
        <v>40</v>
      </c>
      <c r="E378" s="3" t="s">
        <v>24</v>
      </c>
      <c r="F378" s="3"/>
      <c r="G378" s="2">
        <v>9081</v>
      </c>
      <c r="H378" s="2" t="str">
        <f>VLOOKUP(G378,Produtos!A:B,2,FALSE)</f>
        <v>MALZBIER BRAHMA LATA 350ML SH C/12 NPAL</v>
      </c>
      <c r="I378" s="3" t="s">
        <v>491</v>
      </c>
      <c r="J3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79" spans="1:10" x14ac:dyDescent="0.25">
      <c r="A379">
        <v>378</v>
      </c>
      <c r="B379" s="1">
        <v>45847.673726851797</v>
      </c>
      <c r="C379" s="1">
        <v>45847.674502314803</v>
      </c>
      <c r="D379" s="3" t="s">
        <v>40</v>
      </c>
      <c r="E379" s="3" t="s">
        <v>24</v>
      </c>
      <c r="F379" s="3"/>
      <c r="G379" s="2">
        <v>9096</v>
      </c>
      <c r="H379" s="2" t="str">
        <f>VLOOKUP(G379,Produtos!A:B,2,FALSE)</f>
        <v>PEPSI COLA LATA 350ML SH C/12 NPAL</v>
      </c>
      <c r="I379" s="3" t="s">
        <v>492</v>
      </c>
      <c r="J3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0" spans="1:10" x14ac:dyDescent="0.25">
      <c r="A380">
        <v>379</v>
      </c>
      <c r="B380" s="1">
        <v>45847.674537036997</v>
      </c>
      <c r="C380" s="1">
        <v>45847.675763888903</v>
      </c>
      <c r="D380" s="3" t="s">
        <v>40</v>
      </c>
      <c r="E380" s="3" t="s">
        <v>34</v>
      </c>
      <c r="F380" s="3"/>
      <c r="G380" s="2">
        <v>33818</v>
      </c>
      <c r="H380" s="2" t="str">
        <f>VLOOKUP(G380,Produtos!A:B,2,FALSE)</f>
        <v>ORIGINAL LT 350ML SH C/12 NP MULTIPACK</v>
      </c>
      <c r="I380" s="3" t="s">
        <v>491</v>
      </c>
      <c r="J3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1" spans="1:10" x14ac:dyDescent="0.25">
      <c r="A381">
        <v>380</v>
      </c>
      <c r="B381" s="1">
        <v>45847.677974537</v>
      </c>
      <c r="C381" s="1">
        <v>45847.678576388898</v>
      </c>
      <c r="D381" s="3" t="s">
        <v>40</v>
      </c>
      <c r="E381" s="3" t="s">
        <v>24</v>
      </c>
      <c r="F381" s="3"/>
      <c r="G381" s="2">
        <v>33818</v>
      </c>
      <c r="H381" s="2" t="str">
        <f>VLOOKUP(G381,Produtos!A:B,2,FALSE)</f>
        <v>ORIGINAL LT 350ML SH C/12 NP MULTIPACK</v>
      </c>
      <c r="I381" s="3" t="s">
        <v>492</v>
      </c>
      <c r="J3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2" spans="1:10" x14ac:dyDescent="0.25">
      <c r="A382">
        <v>381</v>
      </c>
      <c r="B382" s="1">
        <v>45847.770057870403</v>
      </c>
      <c r="C382" s="1">
        <v>45847.771307870396</v>
      </c>
      <c r="D382" s="3" t="s">
        <v>23</v>
      </c>
      <c r="E382" s="3" t="s">
        <v>24</v>
      </c>
      <c r="F382" s="3"/>
      <c r="G382" s="3"/>
      <c r="H382" s="3" t="e">
        <f>VLOOKUP(G382,Produtos!A:B,2,FALSE)</f>
        <v>#N/A</v>
      </c>
      <c r="I382" s="3" t="s">
        <v>495</v>
      </c>
      <c r="J3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3" spans="1:10" x14ac:dyDescent="0.25">
      <c r="A383">
        <v>382</v>
      </c>
      <c r="B383" s="1">
        <v>45847.770057870403</v>
      </c>
      <c r="C383" s="1">
        <v>45847.771307870396</v>
      </c>
      <c r="D383" s="3" t="s">
        <v>23</v>
      </c>
      <c r="E383" s="3" t="s">
        <v>24</v>
      </c>
      <c r="F383" s="3"/>
      <c r="G383" s="3"/>
      <c r="H383" s="3" t="e">
        <f>VLOOKUP(G383,Produtos!A:B,2,FALSE)</f>
        <v>#N/A</v>
      </c>
      <c r="I383" s="3" t="s">
        <v>495</v>
      </c>
      <c r="J3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4" spans="1:10" x14ac:dyDescent="0.25">
      <c r="A384">
        <v>383</v>
      </c>
      <c r="B384" s="1">
        <v>45847.7714583333</v>
      </c>
      <c r="C384" s="1">
        <v>45847.772662037001</v>
      </c>
      <c r="D384" s="3" t="s">
        <v>23</v>
      </c>
      <c r="E384" s="3" t="s">
        <v>15</v>
      </c>
      <c r="F384" s="3"/>
      <c r="G384" s="3"/>
      <c r="H384" s="3" t="e">
        <f>VLOOKUP(G384,Produtos!A:B,2,FALSE)</f>
        <v>#N/A</v>
      </c>
      <c r="I384" s="3" t="s">
        <v>495</v>
      </c>
      <c r="J3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5" spans="1:10" x14ac:dyDescent="0.25">
      <c r="A385">
        <v>384</v>
      </c>
      <c r="B385" s="1">
        <v>45847.772731481498</v>
      </c>
      <c r="C385" s="1">
        <v>45847.775335648097</v>
      </c>
      <c r="D385" s="3" t="s">
        <v>23</v>
      </c>
      <c r="E385" s="3" t="s">
        <v>19</v>
      </c>
      <c r="F385" s="3"/>
      <c r="G385" s="3"/>
      <c r="H385" s="3" t="e">
        <f>VLOOKUP(G385,Produtos!A:B,2,FALSE)</f>
        <v>#N/A</v>
      </c>
      <c r="I385" s="3" t="s">
        <v>501</v>
      </c>
      <c r="J3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6" spans="1:10" x14ac:dyDescent="0.25">
      <c r="A386">
        <v>385</v>
      </c>
      <c r="B386" s="1">
        <v>45848.397395833301</v>
      </c>
      <c r="C386" s="1">
        <v>45848.3980787037</v>
      </c>
      <c r="D386" s="3" t="s">
        <v>18</v>
      </c>
      <c r="E386" s="3" t="s">
        <v>24</v>
      </c>
      <c r="F386" s="3"/>
      <c r="G386" s="2">
        <v>9320</v>
      </c>
      <c r="H386" s="2" t="str">
        <f>VLOOKUP(G386,Produtos!A:B,2,FALSE)</f>
        <v>BRAHMA CHOPP LT 473ML SH C/12 NPAL</v>
      </c>
      <c r="I386" s="3" t="s">
        <v>493</v>
      </c>
      <c r="J3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7" spans="1:10" x14ac:dyDescent="0.25">
      <c r="A387">
        <v>386</v>
      </c>
      <c r="B387" s="1">
        <v>45848.398101851897</v>
      </c>
      <c r="C387" s="1">
        <v>45848.398657407401</v>
      </c>
      <c r="D387" s="3" t="s">
        <v>18</v>
      </c>
      <c r="E387" s="3" t="s">
        <v>24</v>
      </c>
      <c r="F387" s="3"/>
      <c r="G387" s="2">
        <v>9096</v>
      </c>
      <c r="H387" s="2" t="str">
        <f>VLOOKUP(G387,Produtos!A:B,2,FALSE)</f>
        <v>PEPSI COLA LATA 350ML SH C/12 NPAL</v>
      </c>
      <c r="I387" s="3" t="s">
        <v>493</v>
      </c>
      <c r="J3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8" spans="1:10" x14ac:dyDescent="0.25">
      <c r="A388">
        <v>387</v>
      </c>
      <c r="B388" s="1">
        <v>45848.398668981499</v>
      </c>
      <c r="C388" s="1">
        <v>45848.399189814802</v>
      </c>
      <c r="D388" s="3" t="s">
        <v>18</v>
      </c>
      <c r="E388" s="3" t="s">
        <v>24</v>
      </c>
      <c r="F388" s="3"/>
      <c r="G388" s="2">
        <v>18137</v>
      </c>
      <c r="H388" s="2" t="str">
        <f>VLOOKUP(G388,Produtos!A:B,2,FALSE)</f>
        <v>GUARANA CHP ANTARCTICA PET 3L C4 SH LISO</v>
      </c>
      <c r="I388" s="3" t="s">
        <v>493</v>
      </c>
      <c r="J3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89" spans="1:10" x14ac:dyDescent="0.25">
      <c r="A389">
        <v>388</v>
      </c>
      <c r="B389" s="1">
        <v>45848.440983796303</v>
      </c>
      <c r="C389" s="1">
        <v>45848.441874999997</v>
      </c>
      <c r="D389" s="3" t="s">
        <v>20</v>
      </c>
      <c r="E389" s="3" t="s">
        <v>24</v>
      </c>
      <c r="F389" s="3"/>
      <c r="G389" s="2">
        <v>30942</v>
      </c>
      <c r="H389" s="2" t="str">
        <f>VLOOKUP(G389,Produtos!A:B,2,FALSE)</f>
        <v>SPATEN N LONG NECK 330ML SIX-PACK SH C4</v>
      </c>
      <c r="I389" s="3" t="s">
        <v>503</v>
      </c>
      <c r="J3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0" spans="1:10" x14ac:dyDescent="0.25">
      <c r="A390">
        <v>389</v>
      </c>
      <c r="B390" s="1">
        <v>45848.654293981497</v>
      </c>
      <c r="C390" s="1">
        <v>45848.654930555596</v>
      </c>
      <c r="D390" s="3" t="s">
        <v>22</v>
      </c>
      <c r="E390" s="3" t="s">
        <v>19</v>
      </c>
      <c r="F390" s="3"/>
      <c r="G390" s="3"/>
      <c r="H390" s="3" t="e">
        <f>VLOOKUP(G390,Produtos!A:B,2,FALSE)</f>
        <v>#N/A</v>
      </c>
      <c r="I390" s="3" t="s">
        <v>495</v>
      </c>
      <c r="J3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1" spans="1:10" x14ac:dyDescent="0.25">
      <c r="A391">
        <v>390</v>
      </c>
      <c r="B391" s="1">
        <v>45848.692233796297</v>
      </c>
      <c r="C391" s="1">
        <v>45848.694791666698</v>
      </c>
      <c r="D391" s="3" t="s">
        <v>23</v>
      </c>
      <c r="E391" s="3" t="s">
        <v>21</v>
      </c>
      <c r="F391" s="3"/>
      <c r="G391" s="2">
        <v>9069</v>
      </c>
      <c r="H391" s="2" t="str">
        <f>VLOOKUP(G391,Produtos!A:B,2,FALSE)</f>
        <v>BRAHMA CHOPP LATA 350ML SH C/12 NPAL</v>
      </c>
      <c r="I391" s="3" t="s">
        <v>493</v>
      </c>
      <c r="J3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2" spans="1:10" x14ac:dyDescent="0.25">
      <c r="A392">
        <v>391</v>
      </c>
      <c r="B392" s="1">
        <v>45848.695011574098</v>
      </c>
      <c r="C392" s="1">
        <v>45848.696643518502</v>
      </c>
      <c r="D392" s="3" t="s">
        <v>23</v>
      </c>
      <c r="E392" s="3" t="s">
        <v>21</v>
      </c>
      <c r="F392" s="3"/>
      <c r="G392" s="2">
        <v>21020</v>
      </c>
      <c r="H392" s="2" t="str">
        <f>VLOOKUP(G392,Produtos!A:B,2,FALSE)</f>
        <v>BUDWEISER LT SLEEK 350ML CX CART C12</v>
      </c>
      <c r="I392" s="3" t="s">
        <v>493</v>
      </c>
      <c r="J3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3" spans="1:10" x14ac:dyDescent="0.25">
      <c r="A393">
        <v>392</v>
      </c>
      <c r="B393" s="1">
        <v>45848.7124189815</v>
      </c>
      <c r="C393" s="1">
        <v>45848.716296296298</v>
      </c>
      <c r="D393" s="3" t="s">
        <v>37</v>
      </c>
      <c r="E393" s="3" t="s">
        <v>13</v>
      </c>
      <c r="F393" s="3"/>
      <c r="G393" s="3" t="s">
        <v>38</v>
      </c>
      <c r="H393" s="3" t="e">
        <f>VLOOKUP(G393,Produtos!A:B,2,FALSE)</f>
        <v>#N/A</v>
      </c>
      <c r="I393" s="3" t="s">
        <v>497</v>
      </c>
      <c r="J3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4" spans="1:10" x14ac:dyDescent="0.25">
      <c r="A394">
        <v>393</v>
      </c>
      <c r="B394" s="1">
        <v>45849.320254629602</v>
      </c>
      <c r="C394" s="1">
        <v>45849.320949074099</v>
      </c>
      <c r="D394" s="3" t="s">
        <v>20</v>
      </c>
      <c r="E394" s="3" t="s">
        <v>24</v>
      </c>
      <c r="F394" s="3"/>
      <c r="G394" s="2">
        <v>9072</v>
      </c>
      <c r="H394" s="2" t="str">
        <f>VLOOKUP(G394,Produtos!A:B,2,FALSE)</f>
        <v>BOHEMIA NOVA EMBAL LT 350ML SH C/12 NPAL</v>
      </c>
      <c r="I394" s="3" t="s">
        <v>493</v>
      </c>
      <c r="J3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5" spans="1:10" x14ac:dyDescent="0.25">
      <c r="A395">
        <v>394</v>
      </c>
      <c r="B395" s="1">
        <v>45849.323449074102</v>
      </c>
      <c r="C395" s="1">
        <v>45849.324155092603</v>
      </c>
      <c r="D395" s="3" t="s">
        <v>20</v>
      </c>
      <c r="E395" s="3" t="s">
        <v>24</v>
      </c>
      <c r="F395" s="3"/>
      <c r="G395" s="2">
        <v>19229</v>
      </c>
      <c r="H395" s="2" t="str">
        <f>VLOOKUP(G395,Produtos!A:B,2,FALSE)</f>
        <v>RED BULL BR LATA 250ML SIX PACK NPAL</v>
      </c>
      <c r="I395" s="3" t="s">
        <v>491</v>
      </c>
      <c r="J3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6" spans="1:10" x14ac:dyDescent="0.25">
      <c r="A396">
        <v>395</v>
      </c>
      <c r="B396" s="1">
        <v>45849.324328703697</v>
      </c>
      <c r="C396" s="1">
        <v>45849.325277777803</v>
      </c>
      <c r="D396" s="3" t="s">
        <v>20</v>
      </c>
      <c r="E396" s="3" t="s">
        <v>24</v>
      </c>
      <c r="F396" s="3"/>
      <c r="G396" s="2">
        <v>9067</v>
      </c>
      <c r="H396" s="2" t="str">
        <f>VLOOKUP(G396,Produtos!A:B,2,FALSE)</f>
        <v>ANTARCTICA PILSEN LATA 350ML SH C/12 NPA</v>
      </c>
      <c r="I396" s="3" t="s">
        <v>493</v>
      </c>
      <c r="J3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7" spans="1:10" x14ac:dyDescent="0.25">
      <c r="A397">
        <v>396</v>
      </c>
      <c r="B397" s="1">
        <v>45849.329467592601</v>
      </c>
      <c r="C397" s="1">
        <v>45849.330138888901</v>
      </c>
      <c r="D397" s="3" t="s">
        <v>20</v>
      </c>
      <c r="E397" s="3" t="s">
        <v>21</v>
      </c>
      <c r="F397" s="3"/>
      <c r="G397" s="2">
        <v>9320</v>
      </c>
      <c r="H397" s="2" t="str">
        <f>VLOOKUP(G397,Produtos!A:B,2,FALSE)</f>
        <v>BRAHMA CHOPP LT 473ML SH C/12 NPAL</v>
      </c>
      <c r="I397" s="3" t="s">
        <v>493</v>
      </c>
      <c r="J3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8" spans="1:10" x14ac:dyDescent="0.25">
      <c r="A398">
        <v>397</v>
      </c>
      <c r="B398" s="1">
        <v>45849.329768518503</v>
      </c>
      <c r="C398" s="1">
        <v>45849.330312500002</v>
      </c>
      <c r="D398" s="3" t="s">
        <v>18</v>
      </c>
      <c r="E398" s="3" t="s">
        <v>24</v>
      </c>
      <c r="F398" s="3"/>
      <c r="G398" s="2">
        <v>33734</v>
      </c>
      <c r="H398" s="2" t="str">
        <f>VLOOKUP(G398,Produtos!A:B,2,FALSE)</f>
        <v>BEATS RED MIX LT 269ML SH C/8</v>
      </c>
      <c r="I398" s="3" t="s">
        <v>493</v>
      </c>
      <c r="J3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399" spans="1:10" x14ac:dyDescent="0.25">
      <c r="A399">
        <v>398</v>
      </c>
      <c r="B399" s="1">
        <v>45849.389849537001</v>
      </c>
      <c r="C399" s="1">
        <v>45849.390347222201</v>
      </c>
      <c r="D399" s="3" t="s">
        <v>18</v>
      </c>
      <c r="E399" s="3" t="s">
        <v>21</v>
      </c>
      <c r="F399" s="3"/>
      <c r="G399" s="2">
        <v>18807</v>
      </c>
      <c r="H399" s="2" t="str">
        <f>VLOOKUP(G399,Produtos!A:B,2,FALSE)</f>
        <v>STELLA ARTOIS LN 330ML 6PACK SHR C 4</v>
      </c>
      <c r="I399" s="3" t="s">
        <v>493</v>
      </c>
      <c r="J3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0" spans="1:10" x14ac:dyDescent="0.25">
      <c r="A400">
        <v>399</v>
      </c>
      <c r="B400" s="1">
        <v>45849.393078703702</v>
      </c>
      <c r="C400" s="1">
        <v>45849.393634259301</v>
      </c>
      <c r="D400" s="3" t="s">
        <v>20</v>
      </c>
      <c r="E400" s="3" t="s">
        <v>26</v>
      </c>
      <c r="F400" s="3"/>
      <c r="G400" s="2">
        <v>19310</v>
      </c>
      <c r="H400" s="2" t="str">
        <f>VLOOKUP(G400,Produtos!A:B,2,FALSE)</f>
        <v>ORIGINAL LATA 350ML CX CARTAO C/12 NPAL</v>
      </c>
      <c r="I400" s="3" t="s">
        <v>491</v>
      </c>
      <c r="J4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1" spans="1:10" x14ac:dyDescent="0.25">
      <c r="A401">
        <v>400</v>
      </c>
      <c r="B401" s="1">
        <v>45849.395231481503</v>
      </c>
      <c r="C401" s="1">
        <v>45849.396076388897</v>
      </c>
      <c r="D401" s="3" t="s">
        <v>20</v>
      </c>
      <c r="E401" s="3" t="s">
        <v>21</v>
      </c>
      <c r="F401" s="3"/>
      <c r="G401" s="2">
        <v>32969</v>
      </c>
      <c r="H401" s="2" t="str">
        <f>VLOOKUP(G401,Produtos!A:B,2,FALSE)</f>
        <v>RED BULL S MOR E PESSEGO LT 250ML FOUR P</v>
      </c>
      <c r="I401" s="3" t="s">
        <v>491</v>
      </c>
      <c r="J4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2" spans="1:10" x14ac:dyDescent="0.25">
      <c r="A402">
        <v>401</v>
      </c>
      <c r="B402" s="1">
        <v>45849.465798611098</v>
      </c>
      <c r="C402" s="1">
        <v>45849.4663194444</v>
      </c>
      <c r="D402" s="3" t="s">
        <v>18</v>
      </c>
      <c r="E402" s="3" t="s">
        <v>24</v>
      </c>
      <c r="F402" s="3"/>
      <c r="G402" s="2">
        <v>17725</v>
      </c>
      <c r="H402" s="2" t="str">
        <f>VLOOKUP(G402,Produtos!A:B,2,FALSE)</f>
        <v>ANTARCTICA PILSEN LT 350ML SH C/18 MULTP</v>
      </c>
      <c r="I402" s="3" t="s">
        <v>493</v>
      </c>
      <c r="J4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3" spans="1:10" x14ac:dyDescent="0.25">
      <c r="A403">
        <v>402</v>
      </c>
      <c r="B403" s="1">
        <v>45849.578009259298</v>
      </c>
      <c r="C403" s="1">
        <v>45849.578877314802</v>
      </c>
      <c r="D403" s="3" t="s">
        <v>40</v>
      </c>
      <c r="E403" s="3" t="s">
        <v>16</v>
      </c>
      <c r="F403" s="3"/>
      <c r="G403" s="2">
        <v>9067</v>
      </c>
      <c r="H403" s="2" t="str">
        <f>VLOOKUP(G403,Produtos!A:B,2,FALSE)</f>
        <v>ANTARCTICA PILSEN LATA 350ML SH C/12 NPA</v>
      </c>
      <c r="I403" s="3" t="s">
        <v>491</v>
      </c>
      <c r="J4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4" spans="1:10" x14ac:dyDescent="0.25">
      <c r="A404">
        <v>403</v>
      </c>
      <c r="B404" s="1">
        <v>45849.578969907401</v>
      </c>
      <c r="C404" s="1">
        <v>45849.579884259299</v>
      </c>
      <c r="D404" s="3" t="s">
        <v>40</v>
      </c>
      <c r="E404" s="3" t="s">
        <v>16</v>
      </c>
      <c r="F404" s="3"/>
      <c r="G404" s="2">
        <v>2349</v>
      </c>
      <c r="H404" s="2" t="str">
        <f>VLOOKUP(G404,Produtos!A:B,2,FALSE)</f>
        <v>GUARANA CHP ANTARCTICA PET 2L CAIXA C/6</v>
      </c>
      <c r="I404" s="3" t="s">
        <v>492</v>
      </c>
      <c r="J4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5" spans="1:10" x14ac:dyDescent="0.25">
      <c r="A405">
        <v>404</v>
      </c>
      <c r="B405" s="1">
        <v>45850.2559259259</v>
      </c>
      <c r="C405" s="1">
        <v>45850.257210648102</v>
      </c>
      <c r="D405" s="3" t="s">
        <v>18</v>
      </c>
      <c r="E405" s="3" t="s">
        <v>24</v>
      </c>
      <c r="F405" s="3"/>
      <c r="G405" s="2">
        <v>9081</v>
      </c>
      <c r="H405" s="2" t="str">
        <f>VLOOKUP(G405,Produtos!A:B,2,FALSE)</f>
        <v>MALZBIER BRAHMA LATA 350ML SH C/12 NPAL</v>
      </c>
      <c r="I405" s="3" t="s">
        <v>493</v>
      </c>
      <c r="J40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6" spans="1:10" x14ac:dyDescent="0.25">
      <c r="A406">
        <v>405</v>
      </c>
      <c r="B406" s="1">
        <v>45850.257337962998</v>
      </c>
      <c r="C406" s="1">
        <v>45850.257997685199</v>
      </c>
      <c r="D406" s="3" t="s">
        <v>18</v>
      </c>
      <c r="E406" s="3" t="s">
        <v>24</v>
      </c>
      <c r="F406" s="3"/>
      <c r="G406" s="2">
        <v>9081</v>
      </c>
      <c r="H406" s="2" t="str">
        <f>VLOOKUP(G406,Produtos!A:B,2,FALSE)</f>
        <v>MALZBIER BRAHMA LATA 350ML SH C/12 NPAL</v>
      </c>
      <c r="I406" s="3" t="s">
        <v>493</v>
      </c>
      <c r="J40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7" spans="1:10" x14ac:dyDescent="0.25">
      <c r="A407">
        <v>406</v>
      </c>
      <c r="B407" s="1">
        <v>45850.257337962998</v>
      </c>
      <c r="C407" s="1">
        <v>45850.258009259298</v>
      </c>
      <c r="D407" s="3" t="s">
        <v>18</v>
      </c>
      <c r="E407" s="3" t="s">
        <v>24</v>
      </c>
      <c r="F407" s="3"/>
      <c r="G407" s="2">
        <v>9081</v>
      </c>
      <c r="H407" s="2" t="str">
        <f>VLOOKUP(G407,Produtos!A:B,2,FALSE)</f>
        <v>MALZBIER BRAHMA LATA 350ML SH C/12 NPAL</v>
      </c>
      <c r="I407" s="3" t="s">
        <v>493</v>
      </c>
      <c r="J40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8" spans="1:10" x14ac:dyDescent="0.25">
      <c r="A408">
        <v>407</v>
      </c>
      <c r="B408" s="1">
        <v>45850.274664351797</v>
      </c>
      <c r="C408" s="1">
        <v>45850.275092592601</v>
      </c>
      <c r="D408" s="3" t="s">
        <v>20</v>
      </c>
      <c r="E408" s="3" t="s">
        <v>24</v>
      </c>
      <c r="F408" s="3"/>
      <c r="G408" s="2">
        <v>9085</v>
      </c>
      <c r="H408" s="2" t="str">
        <f>VLOOKUP(G408,Produtos!A:B,2,FALSE)</f>
        <v>GUARANA CHP ANTARCT DIET LT350ML SHC/12</v>
      </c>
      <c r="I408" s="3" t="s">
        <v>491</v>
      </c>
      <c r="J40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09" spans="1:10" x14ac:dyDescent="0.25">
      <c r="A409">
        <v>408</v>
      </c>
      <c r="B409" s="1">
        <v>45850.276273148098</v>
      </c>
      <c r="C409" s="1">
        <v>45850.276666666701</v>
      </c>
      <c r="D409" s="3" t="s">
        <v>20</v>
      </c>
      <c r="E409" s="3" t="s">
        <v>24</v>
      </c>
      <c r="F409" s="3"/>
      <c r="G409" s="2">
        <v>1745</v>
      </c>
      <c r="H409" s="2" t="str">
        <f>VLOOKUP(G409,Produtos!A:B,2,FALSE)</f>
        <v>SKOL LT 269ML SH C/15 NPAL</v>
      </c>
      <c r="I409" s="3" t="s">
        <v>491</v>
      </c>
      <c r="J40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0" spans="1:10" x14ac:dyDescent="0.25">
      <c r="A410">
        <v>409</v>
      </c>
      <c r="B410" s="1">
        <v>45850.277928240699</v>
      </c>
      <c r="C410" s="1">
        <v>45850.278414351902</v>
      </c>
      <c r="D410" s="3" t="s">
        <v>20</v>
      </c>
      <c r="E410" s="3" t="s">
        <v>24</v>
      </c>
      <c r="F410" s="3"/>
      <c r="G410" s="2">
        <v>22177</v>
      </c>
      <c r="H410" s="2" t="str">
        <f>VLOOKUP(G410,Produtos!A:B,2,FALSE)</f>
        <v>BUDWEISER ZERO LT SLEEK 350ML C8 CX CART</v>
      </c>
      <c r="I410" s="3" t="s">
        <v>491</v>
      </c>
      <c r="J41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1" spans="1:10" x14ac:dyDescent="0.25">
      <c r="A411">
        <v>410</v>
      </c>
      <c r="B411" s="1">
        <v>45850.279849537001</v>
      </c>
      <c r="C411" s="1">
        <v>45850.2804398148</v>
      </c>
      <c r="D411" s="3" t="s">
        <v>18</v>
      </c>
      <c r="E411" s="3" t="s">
        <v>24</v>
      </c>
      <c r="F411" s="3"/>
      <c r="G411" s="2">
        <v>9096</v>
      </c>
      <c r="H411" s="2" t="str">
        <f>VLOOKUP(G411,Produtos!A:B,2,FALSE)</f>
        <v>PEPSI COLA LATA 350ML SH C/12 NPAL</v>
      </c>
      <c r="I411" s="3" t="s">
        <v>493</v>
      </c>
      <c r="J41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2" spans="1:10" x14ac:dyDescent="0.25">
      <c r="A412">
        <v>411</v>
      </c>
      <c r="B412" s="1">
        <v>45850.511944444399</v>
      </c>
      <c r="C412" s="1">
        <v>45850.513935185198</v>
      </c>
      <c r="D412" s="3" t="s">
        <v>8</v>
      </c>
      <c r="E412" s="3" t="s">
        <v>33</v>
      </c>
      <c r="F412" s="3"/>
      <c r="G412" s="2">
        <v>838</v>
      </c>
      <c r="H412" s="2" t="str">
        <f>VLOOKUP(G412,Produtos!A:B,2,FALSE)</f>
        <v>CHOPP BRAHMA CLARO BARRIL KEG 50L</v>
      </c>
      <c r="I412" s="3" t="s">
        <v>506</v>
      </c>
      <c r="J41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3" spans="1:10" x14ac:dyDescent="0.25">
      <c r="A413">
        <v>412</v>
      </c>
      <c r="B413" s="1">
        <v>45850.898240740702</v>
      </c>
      <c r="C413" s="1">
        <v>45850.8992013889</v>
      </c>
      <c r="D413" s="3" t="s">
        <v>22</v>
      </c>
      <c r="E413" s="3" t="s">
        <v>13</v>
      </c>
      <c r="F413" s="3"/>
      <c r="G413" s="3"/>
      <c r="H413" s="3" t="e">
        <f>VLOOKUP(G413,Produtos!A:B,2,FALSE)</f>
        <v>#N/A</v>
      </c>
      <c r="I413" s="3" t="s">
        <v>495</v>
      </c>
      <c r="J41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4" spans="1:10" x14ac:dyDescent="0.25">
      <c r="A414">
        <v>413</v>
      </c>
      <c r="B414" s="1">
        <v>45852.343819444402</v>
      </c>
      <c r="C414" s="1">
        <v>45852.3444675926</v>
      </c>
      <c r="D414" s="3" t="s">
        <v>18</v>
      </c>
      <c r="E414" s="3" t="s">
        <v>24</v>
      </c>
      <c r="F414" s="3"/>
      <c r="G414" s="2">
        <v>9320</v>
      </c>
      <c r="H414" s="2" t="str">
        <f>VLOOKUP(G414,Produtos!A:B,2,FALSE)</f>
        <v>BRAHMA CHOPP LT 473ML SH C/12 NPAL</v>
      </c>
      <c r="I414" s="3" t="s">
        <v>493</v>
      </c>
      <c r="J41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5" spans="1:10" x14ac:dyDescent="0.25">
      <c r="A415">
        <v>414</v>
      </c>
      <c r="B415" s="1">
        <v>45852.344479166699</v>
      </c>
      <c r="C415" s="1">
        <v>45852.3450578704</v>
      </c>
      <c r="D415" s="3" t="s">
        <v>18</v>
      </c>
      <c r="E415" s="3" t="s">
        <v>24</v>
      </c>
      <c r="F415" s="3"/>
      <c r="G415" s="2">
        <v>9085</v>
      </c>
      <c r="H415" s="2" t="str">
        <f>VLOOKUP(G415,Produtos!A:B,2,FALSE)</f>
        <v>GUARANA CHP ANTARCT DIET LT350ML SHC/12</v>
      </c>
      <c r="I415" s="3" t="s">
        <v>493</v>
      </c>
      <c r="J41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6" spans="1:10" x14ac:dyDescent="0.25">
      <c r="A416">
        <v>415</v>
      </c>
      <c r="B416" s="1">
        <v>45852.366157407399</v>
      </c>
      <c r="C416" s="1">
        <v>45852.366631944402</v>
      </c>
      <c r="D416" s="3" t="s">
        <v>20</v>
      </c>
      <c r="E416" s="3" t="s">
        <v>21</v>
      </c>
      <c r="F416" s="3"/>
      <c r="G416" s="2">
        <v>9081</v>
      </c>
      <c r="H416" s="2" t="str">
        <f>VLOOKUP(G416,Produtos!A:B,2,FALSE)</f>
        <v>MALZBIER BRAHMA LATA 350ML SH C/12 NPAL</v>
      </c>
      <c r="I416" s="3" t="s">
        <v>491</v>
      </c>
      <c r="J41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7" spans="1:10" x14ac:dyDescent="0.25">
      <c r="A417">
        <v>416</v>
      </c>
      <c r="B417" s="1">
        <v>45852.370289351798</v>
      </c>
      <c r="C417" s="1">
        <v>45852.370902777802</v>
      </c>
      <c r="D417" s="3" t="s">
        <v>20</v>
      </c>
      <c r="E417" s="3" t="s">
        <v>34</v>
      </c>
      <c r="F417" s="3"/>
      <c r="G417" s="2">
        <v>6905</v>
      </c>
      <c r="H417" s="2" t="str">
        <f>VLOOKUP(G417,Produtos!A:B,2,FALSE)</f>
        <v>AGUA M F DA ILHA C/G PVC 500ML CAIXA C/1</v>
      </c>
      <c r="I417" s="3" t="s">
        <v>491</v>
      </c>
      <c r="J41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8" spans="1:10" x14ac:dyDescent="0.25">
      <c r="A418">
        <v>417</v>
      </c>
      <c r="B418" s="1">
        <v>45852.480092592603</v>
      </c>
      <c r="C418" s="1">
        <v>45852.481226851902</v>
      </c>
      <c r="D418" s="3" t="s">
        <v>18</v>
      </c>
      <c r="E418" s="3" t="s">
        <v>24</v>
      </c>
      <c r="F418" s="3"/>
      <c r="G418" s="2">
        <v>34608</v>
      </c>
      <c r="H418" s="2" t="str">
        <f>VLOOKUP(G418,Produtos!A:B,2,FALSE)</f>
        <v>SKOL LATA 350ML SH C/12 MULTIPAK</v>
      </c>
      <c r="I418" s="3" t="s">
        <v>493</v>
      </c>
      <c r="J41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19" spans="1:10" x14ac:dyDescent="0.25">
      <c r="A419">
        <v>418</v>
      </c>
      <c r="B419" s="1">
        <v>45852.824988425898</v>
      </c>
      <c r="C419" s="1">
        <v>45852.826087963003</v>
      </c>
      <c r="D419" s="3" t="s">
        <v>22</v>
      </c>
      <c r="E419" s="3" t="s">
        <v>16</v>
      </c>
      <c r="F419" s="3"/>
      <c r="G419" s="2">
        <v>9083</v>
      </c>
      <c r="H419" s="2" t="str">
        <f>VLOOKUP(G419,Produtos!A:B,2,FALSE)</f>
        <v>SKOL LT 473ML SH C/12 NPAL</v>
      </c>
      <c r="I419" s="3" t="s">
        <v>495</v>
      </c>
      <c r="J41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0" spans="1:10" x14ac:dyDescent="0.25">
      <c r="A420">
        <v>419</v>
      </c>
      <c r="B420" s="1">
        <v>45854.364965277797</v>
      </c>
      <c r="C420" s="1">
        <v>45854.365590277797</v>
      </c>
      <c r="D420" s="3" t="s">
        <v>20</v>
      </c>
      <c r="E420" s="3" t="s">
        <v>21</v>
      </c>
      <c r="F420" s="3"/>
      <c r="G420" s="2">
        <v>9067</v>
      </c>
      <c r="H420" s="2" t="str">
        <f>VLOOKUP(G420,Produtos!A:B,2,FALSE)</f>
        <v>ANTARCTICA PILSEN LATA 350ML SH C/12 NPA</v>
      </c>
      <c r="I420" s="3" t="s">
        <v>492</v>
      </c>
      <c r="J42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1" spans="1:10" x14ac:dyDescent="0.25">
      <c r="A421">
        <v>420</v>
      </c>
      <c r="B421" s="1">
        <v>45854.367569444403</v>
      </c>
      <c r="C421" s="1">
        <v>45854.368078703701</v>
      </c>
      <c r="D421" s="3" t="s">
        <v>20</v>
      </c>
      <c r="E421" s="3" t="s">
        <v>26</v>
      </c>
      <c r="F421" s="3"/>
      <c r="G421" s="2">
        <v>9084</v>
      </c>
      <c r="H421" s="2" t="str">
        <f>VLOOKUP(G421,Produtos!A:B,2,FALSE)</f>
        <v>GUARANA CHP ANTARCT LT350ML SH C/12 NPAL</v>
      </c>
      <c r="I421" s="3" t="s">
        <v>493</v>
      </c>
      <c r="J42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2" spans="1:10" x14ac:dyDescent="0.25">
      <c r="A422">
        <v>421</v>
      </c>
      <c r="B422" s="1">
        <v>45854.369513888902</v>
      </c>
      <c r="C422" s="1">
        <v>45854.370011574101</v>
      </c>
      <c r="D422" s="3" t="s">
        <v>20</v>
      </c>
      <c r="E422" s="3" t="s">
        <v>24</v>
      </c>
      <c r="F422" s="3"/>
      <c r="G422" s="2">
        <v>20498</v>
      </c>
      <c r="H422" s="2" t="str">
        <f>VLOOKUP(G422,Produtos!A:B,2,FALSE)</f>
        <v>BRAHMA DUPLO MALTE LT SLEEK 350ML SH C12</v>
      </c>
      <c r="I422" s="3" t="s">
        <v>491</v>
      </c>
      <c r="J42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3" spans="1:10" x14ac:dyDescent="0.25">
      <c r="A423">
        <v>422</v>
      </c>
      <c r="B423" s="1">
        <v>45854.371562499997</v>
      </c>
      <c r="C423" s="1">
        <v>45854.372175925899</v>
      </c>
      <c r="D423" s="3" t="s">
        <v>20</v>
      </c>
      <c r="E423" s="3" t="s">
        <v>24</v>
      </c>
      <c r="F423" s="3"/>
      <c r="G423" s="2">
        <v>28216</v>
      </c>
      <c r="H423" s="2" t="str">
        <f>VLOOKUP(G423,Produtos!A:B,2,FALSE)</f>
        <v>MINALBA AGUA M C GAS LATA 310ML FD12</v>
      </c>
      <c r="I423" s="3" t="s">
        <v>491</v>
      </c>
      <c r="J42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4" spans="1:10" x14ac:dyDescent="0.25">
      <c r="A424">
        <v>423</v>
      </c>
      <c r="B424" s="1">
        <v>45854.373761574097</v>
      </c>
      <c r="C424" s="1">
        <v>45854.374479166698</v>
      </c>
      <c r="D424" s="3" t="s">
        <v>20</v>
      </c>
      <c r="E424" s="3" t="s">
        <v>24</v>
      </c>
      <c r="F424" s="3"/>
      <c r="G424" s="2">
        <v>2350</v>
      </c>
      <c r="H424" s="2" t="str">
        <f>VLOOKUP(G424,Produtos!A:B,2,FALSE)</f>
        <v>SODA LIMONADA ANTARCTICA PET 2L CX C/6</v>
      </c>
      <c r="I424" s="3" t="s">
        <v>492</v>
      </c>
      <c r="J42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5" spans="1:10" x14ac:dyDescent="0.25">
      <c r="A425">
        <v>424</v>
      </c>
      <c r="B425" s="1">
        <v>45854.374745370398</v>
      </c>
      <c r="C425" s="1">
        <v>45854.375324074099</v>
      </c>
      <c r="D425" s="3" t="s">
        <v>18</v>
      </c>
      <c r="E425" s="3" t="s">
        <v>24</v>
      </c>
      <c r="F425" s="3"/>
      <c r="G425" s="2">
        <v>9093</v>
      </c>
      <c r="H425" s="2" t="str">
        <f>VLOOKUP(G425,Produtos!A:B,2,FALSE)</f>
        <v>PEPSI TWIST LATA 350ML SH C/12 NPAL</v>
      </c>
      <c r="I425" s="3" t="s">
        <v>493</v>
      </c>
      <c r="J42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6" spans="1:10" x14ac:dyDescent="0.25">
      <c r="A426">
        <v>425</v>
      </c>
      <c r="B426" s="1">
        <v>45854.378912036998</v>
      </c>
      <c r="C426" s="1">
        <v>45854.379606481503</v>
      </c>
      <c r="D426" s="3" t="s">
        <v>18</v>
      </c>
      <c r="E426" s="3" t="s">
        <v>21</v>
      </c>
      <c r="F426" s="3"/>
      <c r="G426" s="2">
        <v>9081</v>
      </c>
      <c r="H426" s="2" t="str">
        <f>VLOOKUP(G426,Produtos!A:B,2,FALSE)</f>
        <v>MALZBIER BRAHMA LATA 350ML SH C/12 NPAL</v>
      </c>
      <c r="I426" s="3" t="s">
        <v>493</v>
      </c>
      <c r="J42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7" spans="1:10" x14ac:dyDescent="0.25">
      <c r="A427">
        <v>426</v>
      </c>
      <c r="B427" s="1">
        <v>45854.380266203698</v>
      </c>
      <c r="C427" s="1">
        <v>45854.381793981498</v>
      </c>
      <c r="D427" s="3" t="s">
        <v>18</v>
      </c>
      <c r="E427" s="3" t="s">
        <v>26</v>
      </c>
      <c r="F427" s="3"/>
      <c r="G427" s="2">
        <v>17797</v>
      </c>
      <c r="H427" s="2" t="str">
        <f>VLOOKUP(G427,Produtos!A:B,2,FALSE)</f>
        <v>BRAHMA CHOPP LATA 350ML SH 18 MULTIPACK</v>
      </c>
      <c r="I427" s="3" t="s">
        <v>493</v>
      </c>
      <c r="J42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8" spans="1:10" x14ac:dyDescent="0.25">
      <c r="A428">
        <v>427</v>
      </c>
      <c r="B428" s="1">
        <v>45854.558495370402</v>
      </c>
      <c r="C428" s="1">
        <v>45854.559814814798</v>
      </c>
      <c r="D428" s="3" t="s">
        <v>8</v>
      </c>
      <c r="E428" s="3" t="s">
        <v>15</v>
      </c>
      <c r="F428" s="3"/>
      <c r="G428" s="3"/>
      <c r="H428" s="3" t="e">
        <f>VLOOKUP(G428,Produtos!A:B,2,FALSE)</f>
        <v>#N/A</v>
      </c>
      <c r="I428" s="3" t="s">
        <v>495</v>
      </c>
      <c r="J42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29" spans="1:10" x14ac:dyDescent="0.25">
      <c r="A429">
        <v>428</v>
      </c>
      <c r="B429" s="1">
        <v>45855.327025462997</v>
      </c>
      <c r="C429" s="1">
        <v>45855.327800925901</v>
      </c>
      <c r="D429" s="3" t="s">
        <v>20</v>
      </c>
      <c r="E429" s="3" t="s">
        <v>24</v>
      </c>
      <c r="F429" s="3"/>
      <c r="G429" s="2">
        <v>20603</v>
      </c>
      <c r="H429" s="2" t="str">
        <f>VLOOKUP(G429,Produtos!A:B,2,FALSE)</f>
        <v>ORIGINAL LT 269ML CX CARTAO C/8 NPAL</v>
      </c>
      <c r="I429" s="3" t="s">
        <v>491</v>
      </c>
      <c r="J42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0" spans="1:10" x14ac:dyDescent="0.25">
      <c r="A430">
        <v>429</v>
      </c>
      <c r="B430" s="1">
        <v>45855.328634259298</v>
      </c>
      <c r="C430" s="1">
        <v>45855.329178240703</v>
      </c>
      <c r="D430" s="3" t="s">
        <v>20</v>
      </c>
      <c r="E430" s="3" t="s">
        <v>24</v>
      </c>
      <c r="F430" s="3"/>
      <c r="G430" s="2">
        <v>20651</v>
      </c>
      <c r="H430" s="2" t="str">
        <f>VLOOKUP(G430,Produtos!A:B,2,FALSE)</f>
        <v>CORONA N LT SLEEK 350ML CX 8</v>
      </c>
      <c r="I430" s="3" t="s">
        <v>491</v>
      </c>
      <c r="J43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1" spans="1:10" x14ac:dyDescent="0.25">
      <c r="A431">
        <v>430</v>
      </c>
      <c r="B431" s="1">
        <v>45855.329918981501</v>
      </c>
      <c r="C431" s="1">
        <v>45855.330520833297</v>
      </c>
      <c r="D431" s="3" t="s">
        <v>20</v>
      </c>
      <c r="E431" s="3" t="s">
        <v>24</v>
      </c>
      <c r="F431" s="3"/>
      <c r="G431" s="2">
        <v>9069</v>
      </c>
      <c r="H431" s="2" t="str">
        <f>VLOOKUP(G431,Produtos!A:B,2,FALSE)</f>
        <v>BRAHMA CHOPP LATA 350ML SH C/12 NPAL</v>
      </c>
      <c r="I431" s="3" t="s">
        <v>491</v>
      </c>
      <c r="J43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2" spans="1:10" x14ac:dyDescent="0.25">
      <c r="A432">
        <v>431</v>
      </c>
      <c r="B432" s="1">
        <v>45855.331863425898</v>
      </c>
      <c r="C432" s="1">
        <v>45855.332384259302</v>
      </c>
      <c r="D432" s="3" t="s">
        <v>20</v>
      </c>
      <c r="E432" s="3" t="s">
        <v>24</v>
      </c>
      <c r="F432" s="3"/>
      <c r="G432" s="2">
        <v>9083</v>
      </c>
      <c r="H432" s="2" t="str">
        <f>VLOOKUP(G432,Produtos!A:B,2,FALSE)</f>
        <v>SKOL LT 473ML SH C/12 NPAL</v>
      </c>
      <c r="I432" s="3" t="s">
        <v>491</v>
      </c>
      <c r="J43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3" spans="1:10" x14ac:dyDescent="0.25">
      <c r="A433">
        <v>432</v>
      </c>
      <c r="B433" s="1">
        <v>45855.333310185197</v>
      </c>
      <c r="C433" s="1">
        <v>45855.3346296296</v>
      </c>
      <c r="D433" s="3" t="s">
        <v>18</v>
      </c>
      <c r="E433" s="3" t="s">
        <v>24</v>
      </c>
      <c r="F433" s="3"/>
      <c r="G433" s="2">
        <v>12951</v>
      </c>
      <c r="H433" s="2" t="str">
        <f>VLOOKUP(G433,Produtos!A:B,2,FALSE)</f>
        <v>BRAHMA CHOPP ZERO LN 355 SIXP CX CART C4</v>
      </c>
      <c r="I433" s="3" t="s">
        <v>493</v>
      </c>
      <c r="J43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4" spans="1:10" x14ac:dyDescent="0.25">
      <c r="A434">
        <v>433</v>
      </c>
      <c r="B434" s="1">
        <v>45855.453564814801</v>
      </c>
      <c r="C434" s="1">
        <v>45855.454155092601</v>
      </c>
      <c r="D434" s="3" t="s">
        <v>18</v>
      </c>
      <c r="E434" s="3" t="s">
        <v>24</v>
      </c>
      <c r="F434" s="3"/>
      <c r="G434" s="2">
        <v>17808</v>
      </c>
      <c r="H434" s="2" t="str">
        <f>VLOOKUP(G434,Produtos!A:B,2,FALSE)</f>
        <v>BUDWEISER OW 330ML CX C 24</v>
      </c>
      <c r="I434" s="3" t="s">
        <v>493</v>
      </c>
      <c r="J43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5" spans="1:10" x14ac:dyDescent="0.25">
      <c r="A435">
        <v>434</v>
      </c>
      <c r="B435" s="1">
        <v>45856.703506944403</v>
      </c>
      <c r="C435" s="1">
        <v>45856.704131944403</v>
      </c>
      <c r="D435" s="3" t="s">
        <v>22</v>
      </c>
      <c r="E435" s="3" t="s">
        <v>16</v>
      </c>
      <c r="F435" s="3"/>
      <c r="G435" s="3"/>
      <c r="H435" s="3" t="e">
        <f>VLOOKUP(G435,Produtos!A:B,2,FALSE)</f>
        <v>#N/A</v>
      </c>
      <c r="I435" s="3" t="s">
        <v>495</v>
      </c>
      <c r="J43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6" spans="1:10" x14ac:dyDescent="0.25">
      <c r="A436">
        <v>435</v>
      </c>
      <c r="B436" s="1">
        <v>45857.298240740703</v>
      </c>
      <c r="C436" s="1">
        <v>45857.298819444397</v>
      </c>
      <c r="D436" s="3" t="s">
        <v>18</v>
      </c>
      <c r="E436" s="3" t="s">
        <v>24</v>
      </c>
      <c r="F436" s="3"/>
      <c r="G436" s="2">
        <v>9093</v>
      </c>
      <c r="H436" s="2" t="str">
        <f>VLOOKUP(G436,Produtos!A:B,2,FALSE)</f>
        <v>PEPSI TWIST LATA 350ML SH C/12 NPAL</v>
      </c>
      <c r="I436" s="3" t="s">
        <v>493</v>
      </c>
      <c r="J43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7" spans="1:10" x14ac:dyDescent="0.25">
      <c r="A437">
        <v>436</v>
      </c>
      <c r="B437" s="1">
        <v>45859.332546296297</v>
      </c>
      <c r="C437" s="1">
        <v>45859.333136574103</v>
      </c>
      <c r="D437" s="3" t="s">
        <v>20</v>
      </c>
      <c r="E437" s="3" t="s">
        <v>24</v>
      </c>
      <c r="F437" s="3"/>
      <c r="G437" s="2">
        <v>9067</v>
      </c>
      <c r="H437" s="2" t="str">
        <f>VLOOKUP(G437,Produtos!A:B,2,FALSE)</f>
        <v>ANTARCTICA PILSEN LATA 350ML SH C/12 NPA</v>
      </c>
      <c r="I437" s="3" t="s">
        <v>491</v>
      </c>
      <c r="J43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8" spans="1:10" x14ac:dyDescent="0.25">
      <c r="A438">
        <v>437</v>
      </c>
      <c r="B438" s="1">
        <v>45859.332708333299</v>
      </c>
      <c r="C438" s="1">
        <v>45859.333252314798</v>
      </c>
      <c r="D438" s="3" t="s">
        <v>18</v>
      </c>
      <c r="E438" s="3" t="s">
        <v>24</v>
      </c>
      <c r="F438" s="3"/>
      <c r="G438" s="2">
        <v>19227</v>
      </c>
      <c r="H438" s="2" t="str">
        <f>VLOOKUP(G438,Produtos!A:B,2,FALSE)</f>
        <v>RED BULL BR LATA 355ML FOUR PACK</v>
      </c>
      <c r="I438" s="3" t="s">
        <v>493</v>
      </c>
      <c r="J43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39" spans="1:10" x14ac:dyDescent="0.25">
      <c r="A439">
        <v>438</v>
      </c>
      <c r="B439" s="1">
        <v>45859.3342708333</v>
      </c>
      <c r="C439" s="1">
        <v>45859.334872685198</v>
      </c>
      <c r="D439" s="3" t="s">
        <v>20</v>
      </c>
      <c r="E439" s="3" t="s">
        <v>24</v>
      </c>
      <c r="F439" s="3"/>
      <c r="G439" s="2">
        <v>20564</v>
      </c>
      <c r="H439" s="2" t="e">
        <f>VLOOKUP(G439,Produtos!A:B,2,FALSE)</f>
        <v>#N/A</v>
      </c>
      <c r="I439" s="3" t="s">
        <v>491</v>
      </c>
      <c r="J43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0" spans="1:10" x14ac:dyDescent="0.25">
      <c r="A440">
        <v>439</v>
      </c>
      <c r="B440" s="1">
        <v>45859.3344560185</v>
      </c>
      <c r="C440" s="1">
        <v>45859.334976851896</v>
      </c>
      <c r="D440" s="3" t="s">
        <v>18</v>
      </c>
      <c r="E440" s="3" t="s">
        <v>24</v>
      </c>
      <c r="F440" s="3"/>
      <c r="G440" s="2">
        <v>21658</v>
      </c>
      <c r="H440" s="2" t="str">
        <f>VLOOKUP(G440,Produtos!A:B,2,FALSE)</f>
        <v>SPATEN N LT SLEEK 350ML CX CART C12</v>
      </c>
      <c r="I440" s="3" t="s">
        <v>493</v>
      </c>
      <c r="J44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1" spans="1:10" x14ac:dyDescent="0.25">
      <c r="A441">
        <v>440</v>
      </c>
      <c r="B441" s="1">
        <v>45859.3371990741</v>
      </c>
      <c r="C441" s="1">
        <v>45859.3378240741</v>
      </c>
      <c r="D441" s="3" t="s">
        <v>20</v>
      </c>
      <c r="E441" s="3" t="s">
        <v>24</v>
      </c>
      <c r="F441" s="3"/>
      <c r="G441" s="2">
        <v>9096</v>
      </c>
      <c r="H441" s="2" t="str">
        <f>VLOOKUP(G441,Produtos!A:B,2,FALSE)</f>
        <v>PEPSI COLA LATA 350ML SH C/12 NPAL</v>
      </c>
      <c r="I441" s="3" t="s">
        <v>491</v>
      </c>
      <c r="J44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2" spans="1:10" x14ac:dyDescent="0.25">
      <c r="A442">
        <v>441</v>
      </c>
      <c r="B442" s="1">
        <v>45859.460601851897</v>
      </c>
      <c r="C442" s="1">
        <v>45859.4612037037</v>
      </c>
      <c r="D442" s="3" t="s">
        <v>18</v>
      </c>
      <c r="E442" s="3" t="s">
        <v>24</v>
      </c>
      <c r="F442" s="3"/>
      <c r="G442" s="2">
        <v>18807</v>
      </c>
      <c r="H442" s="2" t="str">
        <f>VLOOKUP(G442,Produtos!A:B,2,FALSE)</f>
        <v>STELLA ARTOIS LN 330ML 6PACK SHR C 4</v>
      </c>
      <c r="I442" s="3" t="s">
        <v>493</v>
      </c>
      <c r="J44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3" spans="1:10" x14ac:dyDescent="0.25">
      <c r="A443">
        <v>442</v>
      </c>
      <c r="B443" s="1">
        <v>45859.461226851803</v>
      </c>
      <c r="C443" s="1">
        <v>45859.461770833303</v>
      </c>
      <c r="D443" s="3" t="s">
        <v>18</v>
      </c>
      <c r="E443" s="3" t="s">
        <v>24</v>
      </c>
      <c r="F443" s="3"/>
      <c r="G443" s="2">
        <v>9087</v>
      </c>
      <c r="H443" s="2" t="str">
        <f>VLOOKUP(G443,Produtos!A:B,2,FALSE)</f>
        <v>SODA LIMONADA ANTAR LT350ML SH C/12 NPAL</v>
      </c>
      <c r="I443" s="3" t="s">
        <v>493</v>
      </c>
      <c r="J44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4" spans="1:10" x14ac:dyDescent="0.25">
      <c r="A444">
        <v>443</v>
      </c>
      <c r="B444" s="1">
        <v>45859.4617939815</v>
      </c>
      <c r="C444" s="1">
        <v>45859.462453703702</v>
      </c>
      <c r="D444" s="3" t="s">
        <v>18</v>
      </c>
      <c r="E444" s="3" t="s">
        <v>24</v>
      </c>
      <c r="F444" s="3"/>
      <c r="G444" s="2">
        <v>9069</v>
      </c>
      <c r="H444" s="2" t="str">
        <f>VLOOKUP(G444,Produtos!A:B,2,FALSE)</f>
        <v>BRAHMA CHOPP LATA 350ML SH C/12 NPAL</v>
      </c>
      <c r="I444" s="3" t="s">
        <v>493</v>
      </c>
      <c r="J44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5" spans="1:10" x14ac:dyDescent="0.25">
      <c r="A445">
        <v>444</v>
      </c>
      <c r="B445" s="1">
        <v>45859.8851967593</v>
      </c>
      <c r="C445" s="1">
        <v>45859.886018518497</v>
      </c>
      <c r="D445" s="3" t="s">
        <v>22</v>
      </c>
      <c r="E445" s="3" t="s">
        <v>33</v>
      </c>
      <c r="F445" s="3"/>
      <c r="G445" s="2">
        <v>838</v>
      </c>
      <c r="H445" s="2" t="str">
        <f>VLOOKUP(G445,Produtos!A:B,2,FALSE)</f>
        <v>CHOPP BRAHMA CLARO BARRIL KEG 50L</v>
      </c>
      <c r="I445" s="3" t="s">
        <v>495</v>
      </c>
      <c r="J44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6" spans="1:10" x14ac:dyDescent="0.25">
      <c r="A446">
        <v>445</v>
      </c>
      <c r="B446" s="1">
        <v>45860.339930555601</v>
      </c>
      <c r="C446" s="1">
        <v>45860.3406481481</v>
      </c>
      <c r="D446" s="3" t="s">
        <v>18</v>
      </c>
      <c r="E446" s="3" t="s">
        <v>24</v>
      </c>
      <c r="F446" s="3"/>
      <c r="G446" s="2">
        <v>21658</v>
      </c>
      <c r="H446" s="2" t="str">
        <f>VLOOKUP(G446,Produtos!A:B,2,FALSE)</f>
        <v>SPATEN N LT SLEEK 350ML CX CART C12</v>
      </c>
      <c r="I446" s="3" t="s">
        <v>493</v>
      </c>
      <c r="J44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7" spans="1:10" x14ac:dyDescent="0.25">
      <c r="A447">
        <v>446</v>
      </c>
      <c r="B447" s="1">
        <v>45860.414571759298</v>
      </c>
      <c r="C447" s="1">
        <v>45860.4152314815</v>
      </c>
      <c r="D447" s="3" t="s">
        <v>20</v>
      </c>
      <c r="E447" s="3" t="s">
        <v>24</v>
      </c>
      <c r="F447" s="3"/>
      <c r="G447" s="2">
        <v>34608</v>
      </c>
      <c r="H447" s="2" t="str">
        <f>VLOOKUP(G447,Produtos!A:B,2,FALSE)</f>
        <v>SKOL LATA 350ML SH C/12 MULTIPAK</v>
      </c>
      <c r="I447" s="3" t="s">
        <v>491</v>
      </c>
      <c r="J44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8" spans="1:10" x14ac:dyDescent="0.25">
      <c r="A448">
        <v>447</v>
      </c>
      <c r="B448" s="1">
        <v>45861.437777777799</v>
      </c>
      <c r="C448" s="1">
        <v>45861.442627314798</v>
      </c>
      <c r="D448" s="3" t="s">
        <v>18</v>
      </c>
      <c r="E448" s="3" t="s">
        <v>24</v>
      </c>
      <c r="F448" s="3"/>
      <c r="G448" s="2">
        <v>9071</v>
      </c>
      <c r="H448" s="2" t="str">
        <f>VLOOKUP(G448,Produtos!A:B,2,FALSE)</f>
        <v>CARACU LATA 350ML SH C/12 NPAL</v>
      </c>
      <c r="I448" s="3" t="s">
        <v>493</v>
      </c>
      <c r="J44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49" spans="1:10" x14ac:dyDescent="0.25">
      <c r="A449">
        <v>448</v>
      </c>
      <c r="B449" s="1">
        <v>45861.442650463003</v>
      </c>
      <c r="C449" s="1">
        <v>45861.443113425899</v>
      </c>
      <c r="D449" s="3" t="s">
        <v>18</v>
      </c>
      <c r="E449" s="3" t="s">
        <v>26</v>
      </c>
      <c r="F449" s="3"/>
      <c r="G449" s="2">
        <v>17797</v>
      </c>
      <c r="H449" s="2" t="str">
        <f>VLOOKUP(G449,Produtos!A:B,2,FALSE)</f>
        <v>BRAHMA CHOPP LATA 350ML SH 18 MULTIPACK</v>
      </c>
      <c r="I449" s="3" t="s">
        <v>493</v>
      </c>
      <c r="J44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0" spans="1:10" x14ac:dyDescent="0.25">
      <c r="A450">
        <v>449</v>
      </c>
      <c r="B450" s="1">
        <v>45861.471145833297</v>
      </c>
      <c r="C450" s="1">
        <v>45861.471886574102</v>
      </c>
      <c r="D450" s="3" t="s">
        <v>20</v>
      </c>
      <c r="E450" s="3" t="s">
        <v>21</v>
      </c>
      <c r="F450" s="3"/>
      <c r="G450" s="2">
        <v>9069</v>
      </c>
      <c r="H450" s="2" t="str">
        <f>VLOOKUP(G450,Produtos!A:B,2,FALSE)</f>
        <v>BRAHMA CHOPP LATA 350ML SH C/12 NPAL</v>
      </c>
      <c r="I450" s="3" t="s">
        <v>491</v>
      </c>
      <c r="J45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1" spans="1:10" x14ac:dyDescent="0.25">
      <c r="A451">
        <v>450</v>
      </c>
      <c r="B451" s="1">
        <v>45861.515231481499</v>
      </c>
      <c r="C451" s="1">
        <v>45861.516145833302</v>
      </c>
      <c r="D451" s="3" t="s">
        <v>20</v>
      </c>
      <c r="E451" s="3" t="s">
        <v>24</v>
      </c>
      <c r="F451" s="3"/>
      <c r="G451" s="2">
        <v>9096</v>
      </c>
      <c r="H451" s="2" t="str">
        <f>VLOOKUP(G451,Produtos!A:B,2,FALSE)</f>
        <v>PEPSI COLA LATA 350ML SH C/12 NPAL</v>
      </c>
      <c r="I451" s="3" t="s">
        <v>499</v>
      </c>
      <c r="J45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2" spans="1:10" x14ac:dyDescent="0.25">
      <c r="A452">
        <v>451</v>
      </c>
      <c r="B452" s="1">
        <v>45861.516990740703</v>
      </c>
      <c r="C452" s="1">
        <v>45861.517592592601</v>
      </c>
      <c r="D452" s="3" t="s">
        <v>20</v>
      </c>
      <c r="E452" s="3" t="s">
        <v>26</v>
      </c>
      <c r="F452" s="3"/>
      <c r="G452" s="2">
        <v>17797</v>
      </c>
      <c r="H452" s="2" t="str">
        <f>VLOOKUP(G452,Produtos!A:B,2,FALSE)</f>
        <v>BRAHMA CHOPP LATA 350ML SH 18 MULTIPACK</v>
      </c>
      <c r="I452" s="3" t="s">
        <v>491</v>
      </c>
      <c r="J45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3" spans="1:10" x14ac:dyDescent="0.25">
      <c r="A453">
        <v>452</v>
      </c>
      <c r="B453" s="1">
        <v>45861.5186805556</v>
      </c>
      <c r="C453" s="1">
        <v>45861.519178240698</v>
      </c>
      <c r="D453" s="3" t="s">
        <v>20</v>
      </c>
      <c r="E453" s="3" t="s">
        <v>26</v>
      </c>
      <c r="F453" s="3"/>
      <c r="G453" s="2">
        <v>9084</v>
      </c>
      <c r="H453" s="2" t="str">
        <f>VLOOKUP(G453,Produtos!A:B,2,FALSE)</f>
        <v>GUARANA CHP ANTARCT LT350ML SH C/12 NPAL</v>
      </c>
      <c r="I453" s="3" t="s">
        <v>491</v>
      </c>
      <c r="J45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4" spans="1:10" x14ac:dyDescent="0.25">
      <c r="A454">
        <v>453</v>
      </c>
      <c r="B454" s="1">
        <v>45861.517280092601</v>
      </c>
      <c r="C454" s="1">
        <v>45861.519722222198</v>
      </c>
      <c r="D454" s="3" t="s">
        <v>8</v>
      </c>
      <c r="E454" s="3" t="s">
        <v>13</v>
      </c>
      <c r="F454" s="3"/>
      <c r="G454" s="3"/>
      <c r="H454" s="3" t="e">
        <f>VLOOKUP(G454,Produtos!A:B,2,FALSE)</f>
        <v>#N/A</v>
      </c>
      <c r="I454" s="3" t="s">
        <v>502</v>
      </c>
      <c r="J45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5" spans="1:10" x14ac:dyDescent="0.25">
      <c r="A455">
        <v>454</v>
      </c>
      <c r="B455" s="1">
        <v>45861.5284606481</v>
      </c>
      <c r="C455" s="1">
        <v>45861.529016203698</v>
      </c>
      <c r="D455" s="3" t="s">
        <v>20</v>
      </c>
      <c r="E455" s="3" t="s">
        <v>26</v>
      </c>
      <c r="F455" s="3"/>
      <c r="G455" s="2">
        <v>9084</v>
      </c>
      <c r="H455" s="2" t="str">
        <f>VLOOKUP(G455,Produtos!A:B,2,FALSE)</f>
        <v>GUARANA CHP ANTARCT LT350ML SH C/12 NPAL</v>
      </c>
      <c r="I455" s="3" t="s">
        <v>491</v>
      </c>
      <c r="J45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6" spans="1:10" x14ac:dyDescent="0.25">
      <c r="A456">
        <v>455</v>
      </c>
      <c r="B456" s="1">
        <v>45862.383958333303</v>
      </c>
      <c r="C456" s="1">
        <v>45862.384571759299</v>
      </c>
      <c r="D456" s="3" t="s">
        <v>20</v>
      </c>
      <c r="E456" s="3" t="s">
        <v>24</v>
      </c>
      <c r="F456" s="3"/>
      <c r="G456" s="2">
        <v>9067</v>
      </c>
      <c r="H456" s="2" t="str">
        <f>VLOOKUP(G456,Produtos!A:B,2,FALSE)</f>
        <v>ANTARCTICA PILSEN LATA 350ML SH C/12 NPA</v>
      </c>
      <c r="I456" s="3" t="s">
        <v>491</v>
      </c>
      <c r="J45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7" spans="1:10" x14ac:dyDescent="0.25">
      <c r="A457">
        <v>456</v>
      </c>
      <c r="B457" s="1">
        <v>45862.385451388902</v>
      </c>
      <c r="C457" s="1">
        <v>45862.386099536998</v>
      </c>
      <c r="D457" s="3" t="s">
        <v>20</v>
      </c>
      <c r="E457" s="3" t="s">
        <v>24</v>
      </c>
      <c r="F457" s="3"/>
      <c r="G457" s="2">
        <v>9068</v>
      </c>
      <c r="H457" s="2" t="str">
        <f>VLOOKUP(G457,Produtos!A:B,2,FALSE)</f>
        <v>SKOL LATA 350ML SH C/12 NPAL</v>
      </c>
      <c r="I457" s="3" t="s">
        <v>493</v>
      </c>
      <c r="J45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8" spans="1:10" x14ac:dyDescent="0.25">
      <c r="A458">
        <v>457</v>
      </c>
      <c r="B458" s="1">
        <v>45862.387847222199</v>
      </c>
      <c r="C458" s="1">
        <v>45862.388634259303</v>
      </c>
      <c r="D458" s="3" t="s">
        <v>20</v>
      </c>
      <c r="E458" s="3" t="s">
        <v>21</v>
      </c>
      <c r="F458" s="3"/>
      <c r="G458" s="2">
        <v>9091</v>
      </c>
      <c r="H458" s="2" t="str">
        <f>VLOOKUP(G458,Produtos!A:B,2,FALSE)</f>
        <v>TONICA ANTARCTICA LT 350ML SH C/12 NPAL</v>
      </c>
      <c r="I458" s="3" t="s">
        <v>491</v>
      </c>
      <c r="J45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59" spans="1:10" x14ac:dyDescent="0.25">
      <c r="A459">
        <v>458</v>
      </c>
      <c r="B459" s="1">
        <v>45862.3927430556</v>
      </c>
      <c r="C459" s="1">
        <v>45862.397777777798</v>
      </c>
      <c r="D459" s="3" t="s">
        <v>18</v>
      </c>
      <c r="E459" s="3" t="s">
        <v>24</v>
      </c>
      <c r="F459" s="3"/>
      <c r="G459" s="2">
        <v>20651</v>
      </c>
      <c r="H459" s="2" t="str">
        <f>VLOOKUP(G459,Produtos!A:B,2,FALSE)</f>
        <v>CORONA N LT SLEEK 350ML CX 8</v>
      </c>
      <c r="I459" s="3" t="s">
        <v>493</v>
      </c>
      <c r="J45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0" spans="1:10" x14ac:dyDescent="0.25">
      <c r="A460">
        <v>459</v>
      </c>
      <c r="B460" s="1">
        <v>45862.397800925901</v>
      </c>
      <c r="C460" s="1">
        <v>45862.3984375</v>
      </c>
      <c r="D460" s="3" t="s">
        <v>18</v>
      </c>
      <c r="E460" s="3" t="s">
        <v>24</v>
      </c>
      <c r="F460" s="3"/>
      <c r="G460" s="2">
        <v>9096</v>
      </c>
      <c r="H460" s="2" t="str">
        <f>VLOOKUP(G460,Produtos!A:B,2,FALSE)</f>
        <v>PEPSI COLA LATA 350ML SH C/12 NPAL</v>
      </c>
      <c r="I460" s="3" t="s">
        <v>493</v>
      </c>
      <c r="J46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1" spans="1:10" x14ac:dyDescent="0.25">
      <c r="A461">
        <v>460</v>
      </c>
      <c r="B461" s="1">
        <v>45862.519652777803</v>
      </c>
      <c r="C461" s="1">
        <v>45862.520254629599</v>
      </c>
      <c r="D461" s="3" t="s">
        <v>18</v>
      </c>
      <c r="E461" s="3" t="s">
        <v>24</v>
      </c>
      <c r="F461" s="3"/>
      <c r="G461" s="2">
        <v>18490</v>
      </c>
      <c r="H461" s="2" t="str">
        <f>VLOOKUP(G461,Produtos!A:B,2,FALSE)</f>
        <v>PATAGONIA AMB LAG NAC LATA 473ML 6PACK</v>
      </c>
      <c r="I461" s="3" t="s">
        <v>493</v>
      </c>
      <c r="J46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2" spans="1:10" x14ac:dyDescent="0.25">
      <c r="A462">
        <v>461</v>
      </c>
      <c r="B462" s="1">
        <v>45863.2722685185</v>
      </c>
      <c r="C462" s="1">
        <v>45863.272754629601</v>
      </c>
      <c r="D462" s="3" t="s">
        <v>18</v>
      </c>
      <c r="E462" s="3" t="s">
        <v>24</v>
      </c>
      <c r="F462" s="3"/>
      <c r="G462" s="2">
        <v>9320</v>
      </c>
      <c r="H462" s="2" t="str">
        <f>VLOOKUP(G462,Produtos!A:B,2,FALSE)</f>
        <v>BRAHMA CHOPP LT 473ML SH C/12 NPAL</v>
      </c>
      <c r="I462" s="3" t="s">
        <v>493</v>
      </c>
      <c r="J46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3" spans="1:10" x14ac:dyDescent="0.25">
      <c r="A463">
        <v>462</v>
      </c>
      <c r="B463" s="1">
        <v>45863.272777777798</v>
      </c>
      <c r="C463" s="1">
        <v>45863.2733912037</v>
      </c>
      <c r="D463" s="3" t="s">
        <v>18</v>
      </c>
      <c r="E463" s="3" t="s">
        <v>24</v>
      </c>
      <c r="F463" s="3"/>
      <c r="G463" s="2">
        <v>9087</v>
      </c>
      <c r="H463" s="2" t="str">
        <f>VLOOKUP(G463,Produtos!A:B,2,FALSE)</f>
        <v>SODA LIMONADA ANTAR LT350ML SH C/12 NPAL</v>
      </c>
      <c r="I463" s="3" t="s">
        <v>493</v>
      </c>
      <c r="J46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4" spans="1:10" x14ac:dyDescent="0.25">
      <c r="A464">
        <v>463</v>
      </c>
      <c r="B464" s="1">
        <v>45863.574965277803</v>
      </c>
      <c r="C464" s="1">
        <v>45863.575624999998</v>
      </c>
      <c r="D464" s="3" t="s">
        <v>18</v>
      </c>
      <c r="E464" s="3" t="s">
        <v>26</v>
      </c>
      <c r="F464" s="3"/>
      <c r="G464" s="2">
        <v>17808</v>
      </c>
      <c r="H464" s="2" t="str">
        <f>VLOOKUP(G464,Produtos!A:B,2,FALSE)</f>
        <v>BUDWEISER OW 330ML CX C 24</v>
      </c>
      <c r="I464" s="3" t="s">
        <v>493</v>
      </c>
      <c r="J46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5" spans="1:10" x14ac:dyDescent="0.25">
      <c r="A465">
        <v>464</v>
      </c>
      <c r="B465" s="1">
        <v>45863.690185185202</v>
      </c>
      <c r="C465" s="1">
        <v>45863.692905092597</v>
      </c>
      <c r="D465" s="3" t="s">
        <v>37</v>
      </c>
      <c r="E465" s="3" t="s">
        <v>21</v>
      </c>
      <c r="F465" s="3"/>
      <c r="G465" s="2">
        <v>1695</v>
      </c>
      <c r="H465" s="2" t="str">
        <f>VLOOKUP(G465,Produtos!A:B,2,FALSE)</f>
        <v>BRAHMA CHOPP GFA VD 1L COM TTC</v>
      </c>
      <c r="I465" s="3" t="s">
        <v>505</v>
      </c>
      <c r="J46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6" spans="1:10" x14ac:dyDescent="0.25">
      <c r="A466">
        <v>465</v>
      </c>
      <c r="B466" s="1">
        <v>45864.277384259301</v>
      </c>
      <c r="C466" s="1">
        <v>45864.278321759302</v>
      </c>
      <c r="D466" s="3" t="s">
        <v>18</v>
      </c>
      <c r="E466" s="3" t="s">
        <v>26</v>
      </c>
      <c r="F466" s="3"/>
      <c r="G466" s="2">
        <v>17797</v>
      </c>
      <c r="H466" s="2" t="str">
        <f>VLOOKUP(G466,Produtos!A:B,2,FALSE)</f>
        <v>BRAHMA CHOPP LATA 350ML SH 18 MULTIPACK</v>
      </c>
      <c r="I466" s="3" t="s">
        <v>493</v>
      </c>
      <c r="J46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7" spans="1:10" x14ac:dyDescent="0.25">
      <c r="A467">
        <v>466</v>
      </c>
      <c r="B467" s="1">
        <v>45864.277696759302</v>
      </c>
      <c r="C467" s="1">
        <v>45864.278437499997</v>
      </c>
      <c r="D467" s="3" t="s">
        <v>20</v>
      </c>
      <c r="E467" s="3" t="s">
        <v>26</v>
      </c>
      <c r="F467" s="3"/>
      <c r="G467" s="2">
        <v>9084</v>
      </c>
      <c r="H467" s="2" t="str">
        <f>VLOOKUP(G467,Produtos!A:B,2,FALSE)</f>
        <v>GUARANA CHP ANTARCT LT350ML SH C/12 NPAL</v>
      </c>
      <c r="I467" s="3" t="s">
        <v>493</v>
      </c>
      <c r="J46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8" spans="1:10" x14ac:dyDescent="0.25">
      <c r="A468">
        <v>467</v>
      </c>
      <c r="B468" s="1">
        <v>45864.280416666697</v>
      </c>
      <c r="C468" s="1">
        <v>45864.280914351897</v>
      </c>
      <c r="D468" s="3" t="s">
        <v>20</v>
      </c>
      <c r="E468" s="3" t="s">
        <v>21</v>
      </c>
      <c r="F468" s="3"/>
      <c r="G468" s="2">
        <v>2349</v>
      </c>
      <c r="H468" s="2" t="str">
        <f>VLOOKUP(G468,Produtos!A:B,2,FALSE)</f>
        <v>GUARANA CHP ANTARCTICA PET 2L CAIXA C/6</v>
      </c>
      <c r="I468" s="3" t="s">
        <v>491</v>
      </c>
      <c r="J46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69" spans="1:10" x14ac:dyDescent="0.25">
      <c r="A469">
        <v>468</v>
      </c>
      <c r="B469" s="1">
        <v>45864.284259259301</v>
      </c>
      <c r="C469" s="1">
        <v>45864.285057870402</v>
      </c>
      <c r="D469" s="3" t="s">
        <v>18</v>
      </c>
      <c r="E469" s="3" t="s">
        <v>24</v>
      </c>
      <c r="F469" s="3"/>
      <c r="G469" s="2">
        <v>9320</v>
      </c>
      <c r="H469" s="2" t="str">
        <f>VLOOKUP(G469,Produtos!A:B,2,FALSE)</f>
        <v>BRAHMA CHOPP LT 473ML SH C/12 NPAL</v>
      </c>
      <c r="I469" s="3" t="s">
        <v>493</v>
      </c>
      <c r="J46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0" spans="1:10" x14ac:dyDescent="0.25">
      <c r="A470">
        <v>469</v>
      </c>
      <c r="B470" s="1">
        <v>45864.284733796303</v>
      </c>
      <c r="C470" s="1">
        <v>45864.285347222198</v>
      </c>
      <c r="D470" s="3" t="s">
        <v>20</v>
      </c>
      <c r="E470" s="3" t="s">
        <v>24</v>
      </c>
      <c r="F470" s="3"/>
      <c r="G470" s="2">
        <v>8336</v>
      </c>
      <c r="H470" s="2" t="str">
        <f>VLOOKUP(G470,Produtos!A:B,2,FALSE)</f>
        <v>ORIGINAL ONE WAY 600ML CX 12</v>
      </c>
      <c r="I470" s="3" t="s">
        <v>491</v>
      </c>
      <c r="J47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1" spans="1:10" x14ac:dyDescent="0.25">
      <c r="A471">
        <v>470</v>
      </c>
      <c r="B471" s="1">
        <v>45864.286516203698</v>
      </c>
      <c r="C471" s="1">
        <v>45864.2870833333</v>
      </c>
      <c r="D471" s="3" t="s">
        <v>20</v>
      </c>
      <c r="E471" s="3" t="s">
        <v>24</v>
      </c>
      <c r="F471" s="3"/>
      <c r="G471" s="2">
        <v>17725</v>
      </c>
      <c r="H471" s="2" t="str">
        <f>VLOOKUP(G471,Produtos!A:B,2,FALSE)</f>
        <v>ANTARCTICA PILSEN LT 350ML SH C/18 MULTP</v>
      </c>
      <c r="I471" s="3" t="s">
        <v>491</v>
      </c>
      <c r="J47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2" spans="1:10" x14ac:dyDescent="0.25">
      <c r="A472">
        <v>471</v>
      </c>
      <c r="B472" s="1">
        <v>45864.287881944401</v>
      </c>
      <c r="C472" s="1">
        <v>45864.288495370398</v>
      </c>
      <c r="D472" s="3" t="s">
        <v>18</v>
      </c>
      <c r="E472" s="3" t="s">
        <v>24</v>
      </c>
      <c r="F472" s="3"/>
      <c r="G472" s="2">
        <v>19229</v>
      </c>
      <c r="H472" s="2" t="str">
        <f>VLOOKUP(G472,Produtos!A:B,2,FALSE)</f>
        <v>RED BULL BR LATA 250ML SIX PACK NPAL</v>
      </c>
      <c r="I472" s="3" t="s">
        <v>493</v>
      </c>
      <c r="J47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3" spans="1:10" x14ac:dyDescent="0.25">
      <c r="A473">
        <v>472</v>
      </c>
      <c r="B473" s="1">
        <v>45864.375324074099</v>
      </c>
      <c r="C473" s="1">
        <v>45864.375995370399</v>
      </c>
      <c r="D473" s="3" t="s">
        <v>20</v>
      </c>
      <c r="E473" s="3" t="s">
        <v>24</v>
      </c>
      <c r="F473" s="3"/>
      <c r="G473" s="2">
        <v>2008</v>
      </c>
      <c r="H473" s="2" t="str">
        <f>VLOOKUP(G473,Produtos!A:B,2,FALSE)</f>
        <v>ANTARCTICA SUBZERO LT 350ML SH C/12 NPAL</v>
      </c>
      <c r="I473" s="3" t="s">
        <v>491</v>
      </c>
      <c r="J47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4" spans="1:10" x14ac:dyDescent="0.25">
      <c r="A474">
        <v>473</v>
      </c>
      <c r="B474" s="1">
        <v>45864.376550925903</v>
      </c>
      <c r="C474" s="1">
        <v>45864.377187500002</v>
      </c>
      <c r="D474" s="3" t="s">
        <v>20</v>
      </c>
      <c r="E474" s="3" t="s">
        <v>24</v>
      </c>
      <c r="F474" s="3"/>
      <c r="G474" s="2">
        <v>9067</v>
      </c>
      <c r="H474" s="2" t="str">
        <f>VLOOKUP(G474,Produtos!A:B,2,FALSE)</f>
        <v>ANTARCTICA PILSEN LATA 350ML SH C/12 NPA</v>
      </c>
      <c r="I474" s="3" t="s">
        <v>491</v>
      </c>
      <c r="J47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5" spans="1:10" x14ac:dyDescent="0.25">
      <c r="A475">
        <v>474</v>
      </c>
      <c r="B475" s="1">
        <v>45864.528287036999</v>
      </c>
      <c r="C475" s="1">
        <v>45864.528749999998</v>
      </c>
      <c r="D475" s="3" t="s">
        <v>20</v>
      </c>
      <c r="E475" s="3" t="s">
        <v>24</v>
      </c>
      <c r="F475" s="3"/>
      <c r="G475" s="2">
        <v>9096</v>
      </c>
      <c r="H475" s="2" t="str">
        <f>VLOOKUP(G475,Produtos!A:B,2,FALSE)</f>
        <v>PEPSI COLA LATA 350ML SH C/12 NPAL</v>
      </c>
      <c r="I475" s="3" t="s">
        <v>491</v>
      </c>
      <c r="J47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6" spans="1:10" x14ac:dyDescent="0.25">
      <c r="A476">
        <v>475</v>
      </c>
      <c r="B476" s="1">
        <v>45866.441932870403</v>
      </c>
      <c r="C476" s="1">
        <v>45866.445914351803</v>
      </c>
      <c r="D476" s="3" t="s">
        <v>18</v>
      </c>
      <c r="E476" s="3" t="s">
        <v>24</v>
      </c>
      <c r="F476" s="3"/>
      <c r="G476" s="2">
        <v>17678</v>
      </c>
      <c r="H476" s="2" t="str">
        <f>VLOOKUP(G476,Produtos!A:B,2,FALSE)</f>
        <v>SKOL LATA 350ML SH C/18 NPAL MULTPACK</v>
      </c>
      <c r="I476" s="3" t="s">
        <v>493</v>
      </c>
      <c r="J47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7" spans="1:10" x14ac:dyDescent="0.25">
      <c r="A477">
        <v>476</v>
      </c>
      <c r="B477" s="1">
        <v>45866.445937500001</v>
      </c>
      <c r="C477" s="1">
        <v>45866.446770833303</v>
      </c>
      <c r="D477" s="3" t="s">
        <v>18</v>
      </c>
      <c r="E477" s="3" t="s">
        <v>24</v>
      </c>
      <c r="F477" s="3"/>
      <c r="G477" s="2">
        <v>9087</v>
      </c>
      <c r="H477" s="2" t="str">
        <f>VLOOKUP(G477,Produtos!A:B,2,FALSE)</f>
        <v>SODA LIMONADA ANTAR LT350ML SH C/12 NPAL</v>
      </c>
      <c r="I477" s="3" t="s">
        <v>493</v>
      </c>
      <c r="J47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8" spans="1:10" x14ac:dyDescent="0.25">
      <c r="A478">
        <v>477</v>
      </c>
      <c r="B478" s="1">
        <v>45866.484537037002</v>
      </c>
      <c r="C478" s="1">
        <v>45866.485011574099</v>
      </c>
      <c r="D478" s="3" t="s">
        <v>18</v>
      </c>
      <c r="E478" s="3" t="s">
        <v>24</v>
      </c>
      <c r="F478" s="3"/>
      <c r="G478" s="2">
        <v>9087</v>
      </c>
      <c r="H478" s="2" t="str">
        <f>VLOOKUP(G478,Produtos!A:B,2,FALSE)</f>
        <v>SODA LIMONADA ANTAR LT350ML SH C/12 NPAL</v>
      </c>
      <c r="I478" s="3" t="s">
        <v>493</v>
      </c>
      <c r="J47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79" spans="1:10" x14ac:dyDescent="0.25">
      <c r="A479">
        <v>478</v>
      </c>
      <c r="B479" s="1">
        <v>45866.550613425898</v>
      </c>
      <c r="C479" s="1">
        <v>45866.551435185203</v>
      </c>
      <c r="D479" s="3" t="s">
        <v>20</v>
      </c>
      <c r="E479" s="3" t="s">
        <v>26</v>
      </c>
      <c r="F479" s="3"/>
      <c r="G479" s="2">
        <v>2349</v>
      </c>
      <c r="H479" s="2" t="str">
        <f>VLOOKUP(G479,Produtos!A:B,2,FALSE)</f>
        <v>GUARANA CHP ANTARCTICA PET 2L CAIXA C/6</v>
      </c>
      <c r="I479" s="3" t="s">
        <v>492</v>
      </c>
      <c r="J47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0" spans="1:10" x14ac:dyDescent="0.25">
      <c r="A480">
        <v>479</v>
      </c>
      <c r="B480" s="1">
        <v>45866.735868055599</v>
      </c>
      <c r="C480" s="1">
        <v>45866.736574074101</v>
      </c>
      <c r="D480" s="3" t="s">
        <v>22</v>
      </c>
      <c r="E480" s="3" t="s">
        <v>33</v>
      </c>
      <c r="F480" s="3"/>
      <c r="G480" s="3"/>
      <c r="H480" s="3" t="e">
        <f>VLOOKUP(G480,Produtos!A:B,2,FALSE)</f>
        <v>#N/A</v>
      </c>
      <c r="I480" s="3" t="s">
        <v>495</v>
      </c>
      <c r="J48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1" spans="1:10" x14ac:dyDescent="0.25">
      <c r="A481">
        <v>480</v>
      </c>
      <c r="B481" s="1">
        <v>45867.300891203697</v>
      </c>
      <c r="C481" s="1">
        <v>45867.301539351902</v>
      </c>
      <c r="D481" s="3" t="s">
        <v>20</v>
      </c>
      <c r="E481" s="3" t="s">
        <v>24</v>
      </c>
      <c r="F481" s="3"/>
      <c r="G481" s="2">
        <v>9087</v>
      </c>
      <c r="H481" s="2" t="str">
        <f>VLOOKUP(G481,Produtos!A:B,2,FALSE)</f>
        <v>SODA LIMONADA ANTAR LT350ML SH C/12 NPAL</v>
      </c>
      <c r="I481" s="3" t="s">
        <v>491</v>
      </c>
      <c r="J48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2" spans="1:10" x14ac:dyDescent="0.25">
      <c r="A482">
        <v>481</v>
      </c>
      <c r="B482" s="1">
        <v>45867.405925925901</v>
      </c>
      <c r="C482" s="1">
        <v>45867.406493055598</v>
      </c>
      <c r="D482" s="3" t="s">
        <v>20</v>
      </c>
      <c r="E482" s="3" t="s">
        <v>24</v>
      </c>
      <c r="F482" s="3"/>
      <c r="G482" s="2">
        <v>9067</v>
      </c>
      <c r="H482" s="2" t="str">
        <f>VLOOKUP(G482,Produtos!A:B,2,FALSE)</f>
        <v>ANTARCTICA PILSEN LATA 350ML SH C/12 NPA</v>
      </c>
      <c r="I482" s="3" t="s">
        <v>491</v>
      </c>
      <c r="J48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3" spans="1:10" x14ac:dyDescent="0.25">
      <c r="A483">
        <v>482</v>
      </c>
      <c r="B483" s="1">
        <v>45867.4539814815</v>
      </c>
      <c r="C483" s="1">
        <v>45867.454594907402</v>
      </c>
      <c r="D483" s="3" t="s">
        <v>18</v>
      </c>
      <c r="E483" s="3" t="s">
        <v>24</v>
      </c>
      <c r="F483" s="3"/>
      <c r="G483" s="2">
        <v>19729</v>
      </c>
      <c r="H483" s="2" t="str">
        <f>VLOOKUP(G483,Produtos!A:B,2,FALSE)</f>
        <v>STELLA ARTOIS LT SLEEK 350ML C 8 CX CART</v>
      </c>
      <c r="I483" s="3" t="s">
        <v>493</v>
      </c>
      <c r="J48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4" spans="1:10" x14ac:dyDescent="0.25">
      <c r="A484">
        <v>483</v>
      </c>
      <c r="B484" s="1">
        <v>45867.454629629603</v>
      </c>
      <c r="C484" s="1">
        <v>45867.455138888901</v>
      </c>
      <c r="D484" s="3" t="s">
        <v>18</v>
      </c>
      <c r="E484" s="3" t="s">
        <v>24</v>
      </c>
      <c r="F484" s="3"/>
      <c r="G484" s="2">
        <v>26462</v>
      </c>
      <c r="H484" s="2" t="str">
        <f>VLOOKUP(G484,Produtos!A:B,2,FALSE)</f>
        <v>ORIGINAL LT 473ML CX CARTAO C/12</v>
      </c>
      <c r="I484" s="3" t="s">
        <v>493</v>
      </c>
      <c r="J48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5" spans="1:10" x14ac:dyDescent="0.25">
      <c r="A485">
        <v>484</v>
      </c>
      <c r="B485" s="1">
        <v>45867.4552430556</v>
      </c>
      <c r="C485" s="1">
        <v>45867.455752314803</v>
      </c>
      <c r="D485" s="3" t="s">
        <v>18</v>
      </c>
      <c r="E485" s="3" t="s">
        <v>24</v>
      </c>
      <c r="F485" s="3"/>
      <c r="G485" s="2">
        <v>9071</v>
      </c>
      <c r="H485" s="2" t="str">
        <f>VLOOKUP(G485,Produtos!A:B,2,FALSE)</f>
        <v>CARACU LATA 350ML SH C/12 NPAL</v>
      </c>
      <c r="I485" s="3" t="s">
        <v>493</v>
      </c>
      <c r="J48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6" spans="1:10" x14ac:dyDescent="0.25">
      <c r="A486">
        <v>485</v>
      </c>
      <c r="B486" s="1">
        <v>45868.524942129603</v>
      </c>
      <c r="C486" s="1">
        <v>45868.525451388901</v>
      </c>
      <c r="D486" s="3" t="s">
        <v>20</v>
      </c>
      <c r="E486" s="3" t="s">
        <v>24</v>
      </c>
      <c r="F486" s="3"/>
      <c r="G486" s="2">
        <v>9320</v>
      </c>
      <c r="H486" s="2" t="str">
        <f>VLOOKUP(G486,Produtos!A:B,2,FALSE)</f>
        <v>BRAHMA CHOPP LT 473ML SH C/12 NPAL</v>
      </c>
      <c r="I486" s="3" t="s">
        <v>491</v>
      </c>
      <c r="J48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7" spans="1:10" x14ac:dyDescent="0.25">
      <c r="A487">
        <v>486</v>
      </c>
      <c r="B487" s="1">
        <v>45868.527233796303</v>
      </c>
      <c r="C487" s="1">
        <v>45868.527662036999</v>
      </c>
      <c r="D487" s="3" t="s">
        <v>20</v>
      </c>
      <c r="E487" s="3" t="s">
        <v>24</v>
      </c>
      <c r="F487" s="3"/>
      <c r="G487" s="2">
        <v>9096</v>
      </c>
      <c r="H487" s="2" t="str">
        <f>VLOOKUP(G487,Produtos!A:B,2,FALSE)</f>
        <v>PEPSI COLA LATA 350ML SH C/12 NPAL</v>
      </c>
      <c r="I487" s="3" t="s">
        <v>491</v>
      </c>
      <c r="J48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8" spans="1:10" x14ac:dyDescent="0.25">
      <c r="A488">
        <v>487</v>
      </c>
      <c r="B488" s="1">
        <v>45868.5297685185</v>
      </c>
      <c r="C488" s="1">
        <v>45868.530335648102</v>
      </c>
      <c r="D488" s="3" t="s">
        <v>20</v>
      </c>
      <c r="E488" s="3" t="s">
        <v>24</v>
      </c>
      <c r="F488" s="3"/>
      <c r="G488" s="2">
        <v>9084</v>
      </c>
      <c r="H488" s="2" t="str">
        <f>VLOOKUP(G488,Produtos!A:B,2,FALSE)</f>
        <v>GUARANA CHP ANTARCT LT350ML SH C/12 NPAL</v>
      </c>
      <c r="I488" s="3" t="s">
        <v>491</v>
      </c>
      <c r="J48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89" spans="1:10" x14ac:dyDescent="0.25">
      <c r="A489">
        <v>488</v>
      </c>
      <c r="B489" s="1">
        <v>45868.597326388903</v>
      </c>
      <c r="C489" s="1">
        <v>45868.597847222198</v>
      </c>
      <c r="D489" s="3" t="s">
        <v>18</v>
      </c>
      <c r="E489" s="3" t="s">
        <v>24</v>
      </c>
      <c r="F489" s="3"/>
      <c r="G489" s="2">
        <v>9068</v>
      </c>
      <c r="H489" s="2" t="str">
        <f>VLOOKUP(G489,Produtos!A:B,2,FALSE)</f>
        <v>SKOL LATA 350ML SH C/12 NPAL</v>
      </c>
      <c r="I489" s="3" t="s">
        <v>493</v>
      </c>
      <c r="J48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0" spans="1:10" x14ac:dyDescent="0.25">
      <c r="A490">
        <v>489</v>
      </c>
      <c r="B490" s="1">
        <v>45868.597905092603</v>
      </c>
      <c r="C490" s="1">
        <v>45868.598495370403</v>
      </c>
      <c r="D490" s="3" t="s">
        <v>18</v>
      </c>
      <c r="E490" s="3" t="s">
        <v>24</v>
      </c>
      <c r="F490" s="3"/>
      <c r="G490" s="2">
        <v>9096</v>
      </c>
      <c r="H490" s="2" t="str">
        <f>VLOOKUP(G490,Produtos!A:B,2,FALSE)</f>
        <v>PEPSI COLA LATA 350ML SH C/12 NPAL</v>
      </c>
      <c r="I490" s="3" t="s">
        <v>493</v>
      </c>
      <c r="J49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1" spans="1:10" x14ac:dyDescent="0.25">
      <c r="A491">
        <v>490</v>
      </c>
      <c r="B491" s="1">
        <v>45869.345578703702</v>
      </c>
      <c r="C491" s="1">
        <v>45869.346342592602</v>
      </c>
      <c r="D491" s="3" t="s">
        <v>20</v>
      </c>
      <c r="E491" s="3" t="s">
        <v>24</v>
      </c>
      <c r="F491" s="3"/>
      <c r="G491" s="2">
        <v>9068</v>
      </c>
      <c r="H491" s="2" t="str">
        <f>VLOOKUP(G491,Produtos!A:B,2,FALSE)</f>
        <v>SKOL LATA 350ML SH C/12 NPAL</v>
      </c>
      <c r="I491" s="3" t="s">
        <v>491</v>
      </c>
      <c r="J49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2" spans="1:10" x14ac:dyDescent="0.25">
      <c r="A492">
        <v>491</v>
      </c>
      <c r="B492" s="1">
        <v>45869.347071759301</v>
      </c>
      <c r="C492" s="1">
        <v>45869.347523148099</v>
      </c>
      <c r="D492" s="3" t="s">
        <v>20</v>
      </c>
      <c r="E492" s="3" t="s">
        <v>24</v>
      </c>
      <c r="F492" s="3"/>
      <c r="G492" s="2">
        <v>9067</v>
      </c>
      <c r="H492" s="2" t="str">
        <f>VLOOKUP(G492,Produtos!A:B,2,FALSE)</f>
        <v>ANTARCTICA PILSEN LATA 350ML SH C/12 NPA</v>
      </c>
      <c r="I492" s="3" t="s">
        <v>491</v>
      </c>
      <c r="J49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3" spans="1:10" x14ac:dyDescent="0.25">
      <c r="A493">
        <v>492</v>
      </c>
      <c r="B493" s="1">
        <v>45869.3488657407</v>
      </c>
      <c r="C493" s="1">
        <v>45869.349502314799</v>
      </c>
      <c r="D493" s="3" t="s">
        <v>20</v>
      </c>
      <c r="E493" s="3" t="s">
        <v>24</v>
      </c>
      <c r="F493" s="3"/>
      <c r="G493" s="2">
        <v>14135</v>
      </c>
      <c r="H493" s="2" t="str">
        <f>VLOOKUP(G493,Produtos!A:B,2,FALSE)</f>
        <v>BUDWEISER LT 473ML SIX-PACK SH C/2 NPAL</v>
      </c>
      <c r="I493" s="3" t="s">
        <v>491</v>
      </c>
      <c r="J49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4" spans="1:10" x14ac:dyDescent="0.25">
      <c r="A494">
        <v>493</v>
      </c>
      <c r="B494" s="1">
        <v>45869.380127314798</v>
      </c>
      <c r="C494" s="1">
        <v>45869.380659722199</v>
      </c>
      <c r="D494" s="3" t="s">
        <v>18</v>
      </c>
      <c r="E494" s="3" t="s">
        <v>24</v>
      </c>
      <c r="F494" s="3"/>
      <c r="G494" s="2">
        <v>371</v>
      </c>
      <c r="H494" s="2" t="str">
        <f>VLOOKUP(G494,Produtos!A:B,2,FALSE)</f>
        <v>MALZBIER BRAHMA LN355ML SIX PAC BAND C/4</v>
      </c>
      <c r="I494" s="3" t="s">
        <v>493</v>
      </c>
      <c r="J49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5" spans="1:10" x14ac:dyDescent="0.25">
      <c r="A495">
        <v>494</v>
      </c>
      <c r="B495" s="1">
        <v>45869.380682870396</v>
      </c>
      <c r="C495" s="1">
        <v>45869.381249999999</v>
      </c>
      <c r="D495" s="3" t="s">
        <v>18</v>
      </c>
      <c r="E495" s="3" t="s">
        <v>24</v>
      </c>
      <c r="F495" s="3"/>
      <c r="G495" s="2">
        <v>9096</v>
      </c>
      <c r="H495" s="2" t="str">
        <f>VLOOKUP(G495,Produtos!A:B,2,FALSE)</f>
        <v>PEPSI COLA LATA 350ML SH C/12 NPAL</v>
      </c>
      <c r="I495" s="3" t="s">
        <v>493</v>
      </c>
      <c r="J495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6" spans="1:10" x14ac:dyDescent="0.25">
      <c r="A496">
        <v>495</v>
      </c>
      <c r="B496" s="1">
        <v>45869.381307870397</v>
      </c>
      <c r="C496" s="1">
        <v>45869.382881944402</v>
      </c>
      <c r="D496" s="3" t="s">
        <v>18</v>
      </c>
      <c r="E496" s="3" t="s">
        <v>21</v>
      </c>
      <c r="F496" s="3"/>
      <c r="G496" s="2">
        <v>9067</v>
      </c>
      <c r="H496" s="2" t="str">
        <f>VLOOKUP(G496,Produtos!A:B,2,FALSE)</f>
        <v>ANTARCTICA PILSEN LATA 350ML SH C/12 NPA</v>
      </c>
      <c r="I496" s="3" t="s">
        <v>493</v>
      </c>
      <c r="J496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7" spans="1:10" x14ac:dyDescent="0.25">
      <c r="A497">
        <v>496</v>
      </c>
      <c r="B497" s="1">
        <v>45869.382939814801</v>
      </c>
      <c r="C497" s="1">
        <v>45869.383599537003</v>
      </c>
      <c r="D497" s="3" t="s">
        <v>18</v>
      </c>
      <c r="E497" s="3" t="s">
        <v>21</v>
      </c>
      <c r="F497" s="3"/>
      <c r="G497" s="2">
        <v>9067</v>
      </c>
      <c r="H497" s="2" t="str">
        <f>VLOOKUP(G497,Produtos!A:B,2,FALSE)</f>
        <v>ANTARCTICA PILSEN LATA 350ML SH C/12 NPA</v>
      </c>
      <c r="I497" s="3" t="s">
        <v>493</v>
      </c>
      <c r="J497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8" spans="1:10" x14ac:dyDescent="0.25">
      <c r="A498">
        <v>497</v>
      </c>
      <c r="B498" s="1">
        <v>45869.383159722202</v>
      </c>
      <c r="C498" s="1">
        <v>45869.383807870399</v>
      </c>
      <c r="D498" s="3" t="s">
        <v>20</v>
      </c>
      <c r="E498" s="3" t="s">
        <v>24</v>
      </c>
      <c r="F498" s="3"/>
      <c r="G498" s="2">
        <v>9067</v>
      </c>
      <c r="H498" s="2" t="str">
        <f>VLOOKUP(G498,Produtos!A:B,2,FALSE)</f>
        <v>ANTARCTICA PILSEN LATA 350ML SH C/12 NPA</v>
      </c>
      <c r="I498" s="3" t="s">
        <v>491</v>
      </c>
      <c r="J498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499" spans="1:10" x14ac:dyDescent="0.25">
      <c r="A499">
        <v>498</v>
      </c>
      <c r="B499" s="1">
        <v>45869.385289351798</v>
      </c>
      <c r="C499" s="1">
        <v>45869.386018518497</v>
      </c>
      <c r="D499" s="3" t="s">
        <v>20</v>
      </c>
      <c r="E499" s="3" t="s">
        <v>21</v>
      </c>
      <c r="F499" s="3"/>
      <c r="G499" s="2">
        <v>19225</v>
      </c>
      <c r="H499" s="2" t="str">
        <f>VLOOKUP(G499,Produtos!A:B,2,FALSE)</f>
        <v>RED BULL BR LATA 250ML CAIXA C/24</v>
      </c>
      <c r="I499" s="3" t="s">
        <v>491</v>
      </c>
      <c r="J499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0" spans="1:10" x14ac:dyDescent="0.25">
      <c r="A500">
        <v>499</v>
      </c>
      <c r="B500" s="1">
        <v>45869.390023148102</v>
      </c>
      <c r="C500" s="1">
        <v>45869.3907175926</v>
      </c>
      <c r="D500" s="3" t="s">
        <v>20</v>
      </c>
      <c r="E500" s="3" t="s">
        <v>34</v>
      </c>
      <c r="F500" s="3"/>
      <c r="G500" s="2">
        <v>7977</v>
      </c>
      <c r="H500" s="2" t="str">
        <f>VLOOKUP(G500,Produtos!A:B,2,FALSE)</f>
        <v>GATORADE UVA PET 500ML SIX PACK</v>
      </c>
      <c r="I500" s="3" t="s">
        <v>496</v>
      </c>
      <c r="J500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1" spans="1:10" x14ac:dyDescent="0.25">
      <c r="A501">
        <v>500</v>
      </c>
      <c r="B501" s="1">
        <v>45869.391550925902</v>
      </c>
      <c r="C501" s="1">
        <v>45869.392118055599</v>
      </c>
      <c r="D501" s="3" t="s">
        <v>20</v>
      </c>
      <c r="E501" s="3" t="s">
        <v>34</v>
      </c>
      <c r="F501" s="3"/>
      <c r="G501" s="2">
        <v>7982</v>
      </c>
      <c r="H501" s="2" t="str">
        <f>VLOOKUP(G501,Produtos!A:B,2,FALSE)</f>
        <v>GATORADE LIMAO PET 500ML SIX PACK</v>
      </c>
      <c r="I501" s="3" t="s">
        <v>492</v>
      </c>
      <c r="J501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2" spans="1:10" x14ac:dyDescent="0.25">
      <c r="A502">
        <v>501</v>
      </c>
      <c r="B502" s="1">
        <v>45869.571863425903</v>
      </c>
      <c r="C502" s="1">
        <v>45869.572835648098</v>
      </c>
      <c r="D502" s="3" t="s">
        <v>18</v>
      </c>
      <c r="E502" s="3" t="s">
        <v>24</v>
      </c>
      <c r="F502" s="3"/>
      <c r="G502" s="2">
        <v>9069</v>
      </c>
      <c r="H502" s="2" t="str">
        <f>VLOOKUP(G502,Produtos!A:B,2,FALSE)</f>
        <v>BRAHMA CHOPP LATA 350ML SH C/12 NPAL</v>
      </c>
      <c r="I502" s="3" t="s">
        <v>493</v>
      </c>
      <c r="J502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3" spans="1:10" x14ac:dyDescent="0.25">
      <c r="A503">
        <v>502</v>
      </c>
      <c r="B503" s="1">
        <v>45869.572916666701</v>
      </c>
      <c r="C503" s="1">
        <v>45869.574131944399</v>
      </c>
      <c r="D503" s="3" t="s">
        <v>18</v>
      </c>
      <c r="E503" s="3" t="s">
        <v>24</v>
      </c>
      <c r="F503" s="3"/>
      <c r="G503" s="2">
        <v>20498</v>
      </c>
      <c r="H503" s="2" t="str">
        <f>VLOOKUP(G503,Produtos!A:B,2,FALSE)</f>
        <v>BRAHMA DUPLO MALTE LT SLEEK 350ML SH C12</v>
      </c>
      <c r="I503" s="3" t="s">
        <v>493</v>
      </c>
      <c r="J503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4" spans="1:10" x14ac:dyDescent="0.25">
      <c r="A504">
        <v>503</v>
      </c>
      <c r="B504" s="1">
        <v>45869.905185185198</v>
      </c>
      <c r="C504" s="1">
        <v>45869.905567129601</v>
      </c>
      <c r="D504" s="3" t="s">
        <v>22</v>
      </c>
      <c r="E504" s="3" t="s">
        <v>24</v>
      </c>
      <c r="F504" s="3"/>
      <c r="G504" s="3"/>
      <c r="H504" s="3" t="e">
        <f>VLOOKUP(G504,Produtos!A:B,2,FALSE)</f>
        <v>#N/A</v>
      </c>
      <c r="I504" s="3" t="s">
        <v>506</v>
      </c>
      <c r="J504" s="1" t="str">
        <f>YEAR(Table1[[#This Row],[Hora de início]])&amp;"/"&amp;IF(MONTH(Table1[[#This Row],[Hora de início]])&lt;10,"0"&amp;MONTH(Table1[[#This Row],[Hora de início]]),MONTH(Table1[[#This Row],[Hora de início]]))</f>
        <v>2025/07</v>
      </c>
    </row>
    <row r="505" spans="1:10" x14ac:dyDescent="0.25">
      <c r="A505">
        <v>504</v>
      </c>
      <c r="B505" s="1">
        <v>45870.339583333298</v>
      </c>
      <c r="C505" s="1">
        <v>45870.340439814798</v>
      </c>
      <c r="D505" s="3" t="s">
        <v>20</v>
      </c>
      <c r="E505" s="3" t="s">
        <v>21</v>
      </c>
      <c r="F505" s="3"/>
      <c r="G505" s="2">
        <v>12948</v>
      </c>
      <c r="H505" s="2" t="str">
        <f>VLOOKUP(G505,Produtos!A:B,2,FALSE)</f>
        <v>BRAHMA CHOPP ZERO LATA 350 SH CX C12 NPA</v>
      </c>
      <c r="I505" s="3" t="s">
        <v>491</v>
      </c>
      <c r="J5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06" spans="1:10" x14ac:dyDescent="0.25">
      <c r="A506">
        <v>505</v>
      </c>
      <c r="B506" s="1">
        <v>45870.3424421296</v>
      </c>
      <c r="C506" s="1">
        <v>45870.343101851897</v>
      </c>
      <c r="D506" s="3" t="s">
        <v>20</v>
      </c>
      <c r="E506" s="3" t="s">
        <v>21</v>
      </c>
      <c r="F506" s="3"/>
      <c r="G506" s="2">
        <v>29580</v>
      </c>
      <c r="H506" s="2" t="str">
        <f>VLOOKUP(G506,Produtos!A:B,2,FALSE)</f>
        <v>STELLA ARTOIS PURE GOLD LN 330 SXP SH C4</v>
      </c>
      <c r="I506" s="3" t="s">
        <v>503</v>
      </c>
      <c r="J5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07" spans="1:10" x14ac:dyDescent="0.25">
      <c r="A507">
        <v>506</v>
      </c>
      <c r="B507" s="1">
        <v>45870.342962962997</v>
      </c>
      <c r="C507" s="1">
        <v>45870.343414351897</v>
      </c>
      <c r="D507" s="3" t="s">
        <v>18</v>
      </c>
      <c r="E507" s="3" t="s">
        <v>24</v>
      </c>
      <c r="F507" s="3"/>
      <c r="G507" s="2">
        <v>9085</v>
      </c>
      <c r="H507" s="2" t="str">
        <f>VLOOKUP(G507,Produtos!A:B,2,FALSE)</f>
        <v>GUARANA CHP ANTARCT DIET LT350ML SHC/12</v>
      </c>
      <c r="I507" s="3" t="s">
        <v>493</v>
      </c>
      <c r="J5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08" spans="1:10" x14ac:dyDescent="0.25">
      <c r="A508">
        <v>507</v>
      </c>
      <c r="B508" s="1">
        <v>45870.3434375</v>
      </c>
      <c r="C508" s="1">
        <v>45870.344143518501</v>
      </c>
      <c r="D508" s="3" t="s">
        <v>18</v>
      </c>
      <c r="E508" s="3" t="s">
        <v>24</v>
      </c>
      <c r="F508" s="3"/>
      <c r="G508" s="2">
        <v>8921</v>
      </c>
      <c r="H508" s="2" t="str">
        <f>VLOOKUP(G508,Produtos!A:B,2,FALSE)</f>
        <v>GUARANA CHP ANTART DIET PET600ML CX C/12</v>
      </c>
      <c r="I508" s="3" t="s">
        <v>500</v>
      </c>
      <c r="J5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09" spans="1:10" x14ac:dyDescent="0.25">
      <c r="A509">
        <v>508</v>
      </c>
      <c r="B509" s="1">
        <v>45870.344178240703</v>
      </c>
      <c r="C509" s="1">
        <v>45870.344675925902</v>
      </c>
      <c r="D509" s="3" t="s">
        <v>18</v>
      </c>
      <c r="E509" s="3" t="s">
        <v>24</v>
      </c>
      <c r="F509" s="3"/>
      <c r="G509" s="2">
        <v>9089</v>
      </c>
      <c r="H509" s="2" t="str">
        <f>VLOOKUP(G509,Produtos!A:B,2,FALSE)</f>
        <v>SUKITA LATA 350ML SH C/12 NPAL</v>
      </c>
      <c r="I509" s="3" t="s">
        <v>493</v>
      </c>
      <c r="J5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0" spans="1:10" x14ac:dyDescent="0.25">
      <c r="A510">
        <v>509</v>
      </c>
      <c r="B510" s="1">
        <v>45870.344699074099</v>
      </c>
      <c r="C510" s="1">
        <v>45870.345381944397</v>
      </c>
      <c r="D510" s="3" t="s">
        <v>18</v>
      </c>
      <c r="E510" s="3" t="s">
        <v>24</v>
      </c>
      <c r="F510" s="3"/>
      <c r="G510" s="2">
        <v>9081</v>
      </c>
      <c r="H510" s="2" t="str">
        <f>VLOOKUP(G510,Produtos!A:B,2,FALSE)</f>
        <v>MALZBIER BRAHMA LATA 350ML SH C/12 NPAL</v>
      </c>
      <c r="I510" s="3" t="s">
        <v>493</v>
      </c>
      <c r="J5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1" spans="1:10" x14ac:dyDescent="0.25">
      <c r="A511">
        <v>510</v>
      </c>
      <c r="B511" s="1">
        <v>45870.344664351796</v>
      </c>
      <c r="C511" s="1">
        <v>45870.345405092601</v>
      </c>
      <c r="D511" s="3" t="s">
        <v>20</v>
      </c>
      <c r="E511" s="3" t="s">
        <v>24</v>
      </c>
      <c r="F511" s="3"/>
      <c r="G511" s="2">
        <v>13566</v>
      </c>
      <c r="H511" s="2" t="str">
        <f>VLOOKUP(G511,Produtos!A:B,2,FALSE)</f>
        <v>SKOL BEATS SENSES LATA 269ML CX C/8 FRID</v>
      </c>
      <c r="I511" s="3" t="s">
        <v>491</v>
      </c>
      <c r="J5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2" spans="1:10" x14ac:dyDescent="0.25">
      <c r="A512">
        <v>511</v>
      </c>
      <c r="B512" s="1">
        <v>45870.345983796302</v>
      </c>
      <c r="C512" s="1">
        <v>45870.347060185202</v>
      </c>
      <c r="D512" s="3" t="s">
        <v>20</v>
      </c>
      <c r="E512" s="3" t="s">
        <v>26</v>
      </c>
      <c r="F512" s="3"/>
      <c r="G512" s="2">
        <v>21020</v>
      </c>
      <c r="H512" s="2" t="str">
        <f>VLOOKUP(G512,Produtos!A:B,2,FALSE)</f>
        <v>BUDWEISER LT SLEEK 350ML CX CART C12</v>
      </c>
      <c r="I512" s="3" t="s">
        <v>492</v>
      </c>
      <c r="J5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3" spans="1:10" x14ac:dyDescent="0.25">
      <c r="A513">
        <v>512</v>
      </c>
      <c r="B513" s="1">
        <v>45870.348101851901</v>
      </c>
      <c r="C513" s="1">
        <v>45870.348877314798</v>
      </c>
      <c r="D513" s="3" t="s">
        <v>20</v>
      </c>
      <c r="E513" s="3" t="s">
        <v>24</v>
      </c>
      <c r="F513" s="3"/>
      <c r="G513" s="2">
        <v>23216</v>
      </c>
      <c r="H513" s="2" t="str">
        <f>VLOOKUP(G513,Produtos!A:B,2,FALSE)</f>
        <v>PATAGONIA IPA LATA 473ML 6PACK CARTAO</v>
      </c>
      <c r="I513" s="3" t="s">
        <v>491</v>
      </c>
      <c r="J5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4" spans="1:10" x14ac:dyDescent="0.25">
      <c r="A514">
        <v>513</v>
      </c>
      <c r="B514" s="1">
        <v>45870.350497685198</v>
      </c>
      <c r="C514" s="1">
        <v>45870.351041666698</v>
      </c>
      <c r="D514" s="3" t="s">
        <v>20</v>
      </c>
      <c r="E514" s="3" t="s">
        <v>24</v>
      </c>
      <c r="F514" s="3"/>
      <c r="G514" s="2">
        <v>9085</v>
      </c>
      <c r="H514" s="2" t="str">
        <f>VLOOKUP(G514,Produtos!A:B,2,FALSE)</f>
        <v>GUARANA CHP ANTARCT DIET LT350ML SHC/12</v>
      </c>
      <c r="I514" s="3" t="s">
        <v>493</v>
      </c>
      <c r="J5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5" spans="1:10" x14ac:dyDescent="0.25">
      <c r="A515">
        <v>514</v>
      </c>
      <c r="B515" s="1">
        <v>45870.350185185198</v>
      </c>
      <c r="C515" s="1">
        <v>45870.35125</v>
      </c>
      <c r="D515" s="3" t="s">
        <v>18</v>
      </c>
      <c r="E515" s="3" t="s">
        <v>24</v>
      </c>
      <c r="F515" s="3"/>
      <c r="G515" s="2">
        <v>9096</v>
      </c>
      <c r="H515" s="2" t="str">
        <f>VLOOKUP(G515,Produtos!A:B,2,FALSE)</f>
        <v>PEPSI COLA LATA 350ML SH C/12 NPAL</v>
      </c>
      <c r="I515" s="3" t="s">
        <v>493</v>
      </c>
      <c r="J5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6" spans="1:10" x14ac:dyDescent="0.25">
      <c r="A516">
        <v>515</v>
      </c>
      <c r="B516" s="1">
        <v>45870.355127314797</v>
      </c>
      <c r="C516" s="1">
        <v>45870.355694444399</v>
      </c>
      <c r="D516" s="3" t="s">
        <v>20</v>
      </c>
      <c r="E516" s="3" t="s">
        <v>24</v>
      </c>
      <c r="F516" s="3"/>
      <c r="G516" s="2">
        <v>11191</v>
      </c>
      <c r="H516" s="2" t="str">
        <f>VLOOKUP(G516,Produtos!A:B,2,FALSE)</f>
        <v>LIPTON PESSEGO PET 1,5 SHRINK C/6 HF</v>
      </c>
      <c r="I516" s="3" t="s">
        <v>491</v>
      </c>
      <c r="J5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7" spans="1:10" x14ac:dyDescent="0.25">
      <c r="A517">
        <v>516</v>
      </c>
      <c r="B517" s="1">
        <v>45870.423379629603</v>
      </c>
      <c r="C517" s="1">
        <v>45870.423969907402</v>
      </c>
      <c r="D517" s="3" t="s">
        <v>20</v>
      </c>
      <c r="E517" s="3" t="s">
        <v>24</v>
      </c>
      <c r="F517" s="3"/>
      <c r="G517" s="2">
        <v>9069</v>
      </c>
      <c r="H517" s="2" t="str">
        <f>VLOOKUP(G517,Produtos!A:B,2,FALSE)</f>
        <v>BRAHMA CHOPP LATA 350ML SH C/12 NPAL</v>
      </c>
      <c r="I517" s="3" t="s">
        <v>491</v>
      </c>
      <c r="J5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8" spans="1:10" x14ac:dyDescent="0.25">
      <c r="A518">
        <v>517</v>
      </c>
      <c r="B518" s="1">
        <v>45870.426979166703</v>
      </c>
      <c r="C518" s="1">
        <v>45870.427650463003</v>
      </c>
      <c r="D518" s="3" t="s">
        <v>20</v>
      </c>
      <c r="E518" s="3" t="s">
        <v>26</v>
      </c>
      <c r="F518" s="3"/>
      <c r="G518" s="2">
        <v>17797</v>
      </c>
      <c r="H518" s="2" t="str">
        <f>VLOOKUP(G518,Produtos!A:B,2,FALSE)</f>
        <v>BRAHMA CHOPP LATA 350ML SH 18 MULTIPACK</v>
      </c>
      <c r="I518" s="3" t="s">
        <v>491</v>
      </c>
      <c r="J5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19" spans="1:10" x14ac:dyDescent="0.25">
      <c r="A519">
        <v>518</v>
      </c>
      <c r="B519" s="1">
        <v>45870.6505092593</v>
      </c>
      <c r="C519" s="1">
        <v>45870.656712962998</v>
      </c>
      <c r="D519" s="3" t="s">
        <v>32</v>
      </c>
      <c r="E519" s="3" t="s">
        <v>15</v>
      </c>
      <c r="F519" s="3"/>
      <c r="G519" s="3"/>
      <c r="H519" s="3" t="e">
        <f>VLOOKUP(G519,Produtos!A:B,2,FALSE)</f>
        <v>#N/A</v>
      </c>
      <c r="I519" s="3"/>
      <c r="J5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0" spans="1:10" x14ac:dyDescent="0.25">
      <c r="A520">
        <v>519</v>
      </c>
      <c r="B520" s="1">
        <v>45870.925416666701</v>
      </c>
      <c r="C520" s="1">
        <v>45870.931562500002</v>
      </c>
      <c r="D520" s="3" t="s">
        <v>29</v>
      </c>
      <c r="E520" s="3" t="s">
        <v>15</v>
      </c>
      <c r="F520" s="3"/>
      <c r="G520" s="3"/>
      <c r="H520" s="3" t="e">
        <f>VLOOKUP(G520,Produtos!A:B,2,FALSE)</f>
        <v>#N/A</v>
      </c>
      <c r="I520" s="3" t="s">
        <v>497</v>
      </c>
      <c r="J5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1" spans="1:10" x14ac:dyDescent="0.25">
      <c r="A521">
        <v>520</v>
      </c>
      <c r="B521" s="1">
        <v>45871.262025463002</v>
      </c>
      <c r="C521" s="1">
        <v>45871.262638888897</v>
      </c>
      <c r="D521" s="3" t="s">
        <v>18</v>
      </c>
      <c r="E521" s="3" t="s">
        <v>24</v>
      </c>
      <c r="F521" s="3"/>
      <c r="G521" s="2">
        <v>17725</v>
      </c>
      <c r="H521" s="2" t="str">
        <f>VLOOKUP(G521,Produtos!A:B,2,FALSE)</f>
        <v>ANTARCTICA PILSEN LT 350ML SH C/18 MULTP</v>
      </c>
      <c r="I521" s="3" t="s">
        <v>493</v>
      </c>
      <c r="J5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2" spans="1:10" x14ac:dyDescent="0.25">
      <c r="A522">
        <v>521</v>
      </c>
      <c r="B522" s="1">
        <v>45871.265335648102</v>
      </c>
      <c r="C522" s="1">
        <v>45871.265844907401</v>
      </c>
      <c r="D522" s="3" t="s">
        <v>18</v>
      </c>
      <c r="E522" s="3" t="s">
        <v>24</v>
      </c>
      <c r="F522" s="3"/>
      <c r="G522" s="2">
        <v>20072</v>
      </c>
      <c r="H522" s="2" t="str">
        <f>VLOOKUP(G522,Produtos!A:B,2,FALSE)</f>
        <v>BECKS N LT SLEEK 350ML C 8 CX CART</v>
      </c>
      <c r="I522" s="3" t="s">
        <v>493</v>
      </c>
      <c r="J5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3" spans="1:10" x14ac:dyDescent="0.25">
      <c r="A523">
        <v>522</v>
      </c>
      <c r="B523" s="1">
        <v>45871.268333333297</v>
      </c>
      <c r="C523" s="1">
        <v>45871.268842592603</v>
      </c>
      <c r="D523" s="3" t="s">
        <v>18</v>
      </c>
      <c r="E523" s="3" t="s">
        <v>24</v>
      </c>
      <c r="F523" s="3"/>
      <c r="G523" s="2">
        <v>9081</v>
      </c>
      <c r="H523" s="2" t="str">
        <f>VLOOKUP(G523,Produtos!A:B,2,FALSE)</f>
        <v>MALZBIER BRAHMA LATA 350ML SH C/12 NPAL</v>
      </c>
      <c r="I523" s="3" t="s">
        <v>493</v>
      </c>
      <c r="J5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4" spans="1:10" x14ac:dyDescent="0.25">
      <c r="A524">
        <v>523</v>
      </c>
      <c r="B524" s="1">
        <v>45871.3828125</v>
      </c>
      <c r="C524" s="1">
        <v>45871.383518518502</v>
      </c>
      <c r="D524" s="3" t="s">
        <v>20</v>
      </c>
      <c r="E524" s="3" t="s">
        <v>24</v>
      </c>
      <c r="F524" s="3"/>
      <c r="G524" s="2">
        <v>9069</v>
      </c>
      <c r="H524" s="2" t="str">
        <f>VLOOKUP(G524,Produtos!A:B,2,FALSE)</f>
        <v>BRAHMA CHOPP LATA 350ML SH C/12 NPAL</v>
      </c>
      <c r="I524" s="3" t="s">
        <v>491</v>
      </c>
      <c r="J5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5" spans="1:10" x14ac:dyDescent="0.25">
      <c r="A525">
        <v>524</v>
      </c>
      <c r="B525" s="1">
        <v>45871.3844791667</v>
      </c>
      <c r="C525" s="1">
        <v>45871.385011574101</v>
      </c>
      <c r="D525" s="3" t="s">
        <v>20</v>
      </c>
      <c r="E525" s="3" t="s">
        <v>24</v>
      </c>
      <c r="F525" s="3"/>
      <c r="G525" s="2">
        <v>9084</v>
      </c>
      <c r="H525" s="2" t="str">
        <f>VLOOKUP(G525,Produtos!A:B,2,FALSE)</f>
        <v>GUARANA CHP ANTARCT LT350ML SH C/12 NPAL</v>
      </c>
      <c r="I525" s="3" t="s">
        <v>491</v>
      </c>
      <c r="J5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6" spans="1:10" x14ac:dyDescent="0.25">
      <c r="A526">
        <v>525</v>
      </c>
      <c r="B526" s="1">
        <v>45871.387407407397</v>
      </c>
      <c r="C526" s="1">
        <v>45871.387962963003</v>
      </c>
      <c r="D526" s="3" t="s">
        <v>20</v>
      </c>
      <c r="E526" s="3" t="s">
        <v>26</v>
      </c>
      <c r="F526" s="3"/>
      <c r="G526" s="2">
        <v>19310</v>
      </c>
      <c r="H526" s="2" t="str">
        <f>VLOOKUP(G526,Produtos!A:B,2,FALSE)</f>
        <v>ORIGINAL LATA 350ML CX CARTAO C/12 NPAL</v>
      </c>
      <c r="I526" s="3" t="s">
        <v>491</v>
      </c>
      <c r="J5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7" spans="1:10" x14ac:dyDescent="0.25">
      <c r="A527">
        <v>526</v>
      </c>
      <c r="B527" s="1">
        <v>45871.389085648101</v>
      </c>
      <c r="C527" s="1">
        <v>45871.389618055597</v>
      </c>
      <c r="D527" s="3" t="s">
        <v>20</v>
      </c>
      <c r="E527" s="3" t="s">
        <v>26</v>
      </c>
      <c r="F527" s="3"/>
      <c r="G527" s="2">
        <v>9084</v>
      </c>
      <c r="H527" s="2" t="str">
        <f>VLOOKUP(G527,Produtos!A:B,2,FALSE)</f>
        <v>GUARANA CHP ANTARCT LT350ML SH C/12 NPAL</v>
      </c>
      <c r="I527" s="3" t="s">
        <v>491</v>
      </c>
      <c r="J5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8" spans="1:10" x14ac:dyDescent="0.25">
      <c r="A528">
        <v>527</v>
      </c>
      <c r="B528" s="1">
        <v>45871.547245370399</v>
      </c>
      <c r="C528" s="1">
        <v>45871.547881944403</v>
      </c>
      <c r="D528" s="3" t="s">
        <v>8</v>
      </c>
      <c r="E528" s="3" t="s">
        <v>33</v>
      </c>
      <c r="F528" s="3"/>
      <c r="G528" s="3"/>
      <c r="H528" s="3" t="e">
        <f>VLOOKUP(G528,Produtos!A:B,2,FALSE)</f>
        <v>#N/A</v>
      </c>
      <c r="I528" s="3" t="s">
        <v>495</v>
      </c>
      <c r="J5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29" spans="1:10" x14ac:dyDescent="0.25">
      <c r="A529">
        <v>528</v>
      </c>
      <c r="B529" s="1">
        <v>45871.805219907401</v>
      </c>
      <c r="C529" s="1">
        <v>45871.805706018502</v>
      </c>
      <c r="D529" s="3" t="s">
        <v>22</v>
      </c>
      <c r="E529" s="3" t="s">
        <v>15</v>
      </c>
      <c r="F529" s="3"/>
      <c r="G529" s="3"/>
      <c r="H529" s="3" t="e">
        <f>VLOOKUP(G529,Produtos!A:B,2,FALSE)</f>
        <v>#N/A</v>
      </c>
      <c r="I529" s="3" t="s">
        <v>495</v>
      </c>
      <c r="J5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0" spans="1:10" x14ac:dyDescent="0.25">
      <c r="A530">
        <v>529</v>
      </c>
      <c r="B530" s="1">
        <v>45873.470960648097</v>
      </c>
      <c r="C530" s="1">
        <v>45873.471608796302</v>
      </c>
      <c r="D530" s="3" t="s">
        <v>18</v>
      </c>
      <c r="E530" s="3" t="s">
        <v>24</v>
      </c>
      <c r="F530" s="3"/>
      <c r="G530" s="2">
        <v>17797</v>
      </c>
      <c r="H530" s="2" t="str">
        <f>VLOOKUP(G530,Produtos!A:B,2,FALSE)</f>
        <v>BRAHMA CHOPP LATA 350ML SH 18 MULTIPACK</v>
      </c>
      <c r="I530" s="3" t="s">
        <v>493</v>
      </c>
      <c r="J5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1" spans="1:10" x14ac:dyDescent="0.25">
      <c r="A531">
        <v>530</v>
      </c>
      <c r="B531" s="1">
        <v>45873.471631944398</v>
      </c>
      <c r="C531" s="1">
        <v>45873.472256944398</v>
      </c>
      <c r="D531" s="3" t="s">
        <v>18</v>
      </c>
      <c r="E531" s="3" t="s">
        <v>26</v>
      </c>
      <c r="F531" s="3"/>
      <c r="G531" s="2">
        <v>19729</v>
      </c>
      <c r="H531" s="2" t="str">
        <f>VLOOKUP(G531,Produtos!A:B,2,FALSE)</f>
        <v>STELLA ARTOIS LT SLEEK 350ML C 8 CX CART</v>
      </c>
      <c r="I531" s="3" t="s">
        <v>493</v>
      </c>
      <c r="J5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2" spans="1:10" x14ac:dyDescent="0.25">
      <c r="A532">
        <v>531</v>
      </c>
      <c r="B532" s="1">
        <v>45873.472280092603</v>
      </c>
      <c r="C532" s="1">
        <v>45873.472951388903</v>
      </c>
      <c r="D532" s="3" t="s">
        <v>18</v>
      </c>
      <c r="E532" s="3" t="s">
        <v>21</v>
      </c>
      <c r="F532" s="3"/>
      <c r="G532" s="2">
        <v>9320</v>
      </c>
      <c r="H532" s="2" t="str">
        <f>VLOOKUP(G532,Produtos!A:B,2,FALSE)</f>
        <v>BRAHMA CHOPP LT 473ML SH C/12 NPAL</v>
      </c>
      <c r="I532" s="3" t="s">
        <v>493</v>
      </c>
      <c r="J5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3" spans="1:10" x14ac:dyDescent="0.25">
      <c r="A533">
        <v>532</v>
      </c>
      <c r="B533" s="1">
        <v>45873.886516203696</v>
      </c>
      <c r="C533" s="1">
        <v>45873.887372685203</v>
      </c>
      <c r="D533" s="3" t="s">
        <v>22</v>
      </c>
      <c r="E533" s="3" t="s">
        <v>16</v>
      </c>
      <c r="F533" s="3"/>
      <c r="G533" s="3"/>
      <c r="H533" s="3" t="e">
        <f>VLOOKUP(G533,Produtos!A:B,2,FALSE)</f>
        <v>#N/A</v>
      </c>
      <c r="I533" s="3" t="s">
        <v>495</v>
      </c>
      <c r="J5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4" spans="1:10" x14ac:dyDescent="0.25">
      <c r="A534">
        <v>533</v>
      </c>
      <c r="B534" s="1">
        <v>45874.200115740699</v>
      </c>
      <c r="C534" s="1">
        <v>45874.2020486111</v>
      </c>
      <c r="D534" s="3" t="s">
        <v>27</v>
      </c>
      <c r="E534" s="3" t="s">
        <v>26</v>
      </c>
      <c r="F534" s="3"/>
      <c r="G534" s="3"/>
      <c r="H534" s="3" t="e">
        <f>VLOOKUP(G534,Produtos!A:B,2,FALSE)</f>
        <v>#N/A</v>
      </c>
      <c r="I534" s="3" t="s">
        <v>495</v>
      </c>
      <c r="J5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5" spans="1:10" x14ac:dyDescent="0.25">
      <c r="A535">
        <v>534</v>
      </c>
      <c r="B535" s="1">
        <v>45874.204074074099</v>
      </c>
      <c r="C535" s="1">
        <v>45874.2054166667</v>
      </c>
      <c r="D535" s="3" t="s">
        <v>27</v>
      </c>
      <c r="E535" s="3" t="s">
        <v>16</v>
      </c>
      <c r="F535" s="3"/>
      <c r="G535" s="2">
        <v>9084</v>
      </c>
      <c r="H535" s="2" t="str">
        <f>VLOOKUP(G535,Produtos!A:B,2,FALSE)</f>
        <v>GUARANA CHP ANTARCT LT350ML SH C/12 NPAL</v>
      </c>
      <c r="I535" s="3" t="s">
        <v>493</v>
      </c>
      <c r="J5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6" spans="1:10" x14ac:dyDescent="0.25">
      <c r="A536">
        <v>535</v>
      </c>
      <c r="B536" s="1">
        <v>45874.205486111103</v>
      </c>
      <c r="C536" s="1">
        <v>45874.207222222198</v>
      </c>
      <c r="D536" s="3" t="s">
        <v>27</v>
      </c>
      <c r="E536" s="3" t="s">
        <v>16</v>
      </c>
      <c r="F536" s="3"/>
      <c r="G536" s="3"/>
      <c r="H536" s="3" t="e">
        <f>VLOOKUP(G536,Produtos!A:B,2,FALSE)</f>
        <v>#N/A</v>
      </c>
      <c r="I536" s="3" t="s">
        <v>495</v>
      </c>
      <c r="J5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7" spans="1:10" x14ac:dyDescent="0.25">
      <c r="A537">
        <v>536</v>
      </c>
      <c r="B537" s="1">
        <v>45874.328414351803</v>
      </c>
      <c r="C537" s="1">
        <v>45874.329039351796</v>
      </c>
      <c r="D537" s="3" t="s">
        <v>20</v>
      </c>
      <c r="E537" s="3" t="s">
        <v>24</v>
      </c>
      <c r="F537" s="3"/>
      <c r="G537" s="2">
        <v>18137</v>
      </c>
      <c r="H537" s="2" t="str">
        <f>VLOOKUP(G537,Produtos!A:B,2,FALSE)</f>
        <v>GUARANA CHP ANTARCTICA PET 3L C4 SH LISO</v>
      </c>
      <c r="I537" s="3" t="s">
        <v>492</v>
      </c>
      <c r="J5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8" spans="1:10" x14ac:dyDescent="0.25">
      <c r="A538">
        <v>537</v>
      </c>
      <c r="B538" s="1">
        <v>45874.330462963</v>
      </c>
      <c r="C538" s="1">
        <v>45874.330960648098</v>
      </c>
      <c r="D538" s="3" t="s">
        <v>20</v>
      </c>
      <c r="E538" s="3" t="s">
        <v>24</v>
      </c>
      <c r="F538" s="3"/>
      <c r="G538" s="2">
        <v>9096</v>
      </c>
      <c r="H538" s="2" t="str">
        <f>VLOOKUP(G538,Produtos!A:B,2,FALSE)</f>
        <v>PEPSI COLA LATA 350ML SH C/12 NPAL</v>
      </c>
      <c r="I538" s="3" t="s">
        <v>491</v>
      </c>
      <c r="J5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39" spans="1:10" x14ac:dyDescent="0.25">
      <c r="A539">
        <v>538</v>
      </c>
      <c r="B539" s="1">
        <v>45874.332546296297</v>
      </c>
      <c r="C539" s="1">
        <v>45874.333055555602</v>
      </c>
      <c r="D539" s="3" t="s">
        <v>20</v>
      </c>
      <c r="E539" s="3" t="s">
        <v>24</v>
      </c>
      <c r="F539" s="3"/>
      <c r="G539" s="2">
        <v>32349</v>
      </c>
      <c r="H539" s="2" t="str">
        <f>VLOOKUP(G539,Produtos!A:B,2,FALSE)</f>
        <v>BEATS TROPICAL LT 269ML CX CARTAO C/8 NP</v>
      </c>
      <c r="I539" s="3" t="s">
        <v>491</v>
      </c>
      <c r="J5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0" spans="1:10" x14ac:dyDescent="0.25">
      <c r="A540">
        <v>539</v>
      </c>
      <c r="B540" s="1">
        <v>45874.335057870398</v>
      </c>
      <c r="C540" s="1">
        <v>45874.335868055598</v>
      </c>
      <c r="D540" s="3" t="s">
        <v>20</v>
      </c>
      <c r="E540" s="3" t="s">
        <v>24</v>
      </c>
      <c r="F540" s="3"/>
      <c r="G540" s="2">
        <v>9067</v>
      </c>
      <c r="H540" s="2" t="str">
        <f>VLOOKUP(G540,Produtos!A:B,2,FALSE)</f>
        <v>ANTARCTICA PILSEN LATA 350ML SH C/12 NPA</v>
      </c>
      <c r="I540" s="3" t="s">
        <v>491</v>
      </c>
      <c r="J5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1" spans="1:10" x14ac:dyDescent="0.25">
      <c r="A541">
        <v>540</v>
      </c>
      <c r="B541" s="1">
        <v>45874.429305555597</v>
      </c>
      <c r="C541" s="1">
        <v>45874.4301851852</v>
      </c>
      <c r="D541" s="3" t="s">
        <v>18</v>
      </c>
      <c r="E541" s="3" t="s">
        <v>24</v>
      </c>
      <c r="F541" s="3"/>
      <c r="G541" s="2">
        <v>29485</v>
      </c>
      <c r="H541" s="2" t="str">
        <f>VLOOKUP(G541,Produtos!A:B,2,FALSE)</f>
        <v>SKOL BEATS CAIPIRINHA LN 269ML SXP SH C4</v>
      </c>
      <c r="I541" s="3" t="s">
        <v>493</v>
      </c>
      <c r="J5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2" spans="1:10" x14ac:dyDescent="0.25">
      <c r="A542">
        <v>541</v>
      </c>
      <c r="B542" s="1">
        <v>45874.430208333302</v>
      </c>
      <c r="C542" s="1">
        <v>45874.430706018502</v>
      </c>
      <c r="D542" s="3" t="s">
        <v>18</v>
      </c>
      <c r="E542" s="3" t="s">
        <v>24</v>
      </c>
      <c r="F542" s="3"/>
      <c r="G542" s="2">
        <v>9093</v>
      </c>
      <c r="H542" s="2" t="str">
        <f>VLOOKUP(G542,Produtos!A:B,2,FALSE)</f>
        <v>PEPSI TWIST LATA 350ML SH C/12 NPAL</v>
      </c>
      <c r="I542" s="3" t="s">
        <v>493</v>
      </c>
      <c r="J5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3" spans="1:10" x14ac:dyDescent="0.25">
      <c r="A543">
        <v>542</v>
      </c>
      <c r="B543" s="1">
        <v>45874.434189814798</v>
      </c>
      <c r="C543" s="1">
        <v>45874.4347106481</v>
      </c>
      <c r="D543" s="3" t="s">
        <v>18</v>
      </c>
      <c r="E543" s="3" t="s">
        <v>26</v>
      </c>
      <c r="F543" s="3"/>
      <c r="G543" s="2">
        <v>17797</v>
      </c>
      <c r="H543" s="2" t="str">
        <f>VLOOKUP(G543,Produtos!A:B,2,FALSE)</f>
        <v>BRAHMA CHOPP LATA 350ML SH 18 MULTIPACK</v>
      </c>
      <c r="I543" s="3" t="s">
        <v>493</v>
      </c>
      <c r="J5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4" spans="1:10" x14ac:dyDescent="0.25">
      <c r="A544">
        <v>543</v>
      </c>
      <c r="B544" s="1">
        <v>45874.452291666697</v>
      </c>
      <c r="C544" s="1">
        <v>45874.453298611101</v>
      </c>
      <c r="D544" s="3" t="s">
        <v>29</v>
      </c>
      <c r="E544" s="3" t="s">
        <v>16</v>
      </c>
      <c r="F544" s="3"/>
      <c r="G544" s="3"/>
      <c r="H544" s="3" t="e">
        <f>VLOOKUP(G544,Produtos!A:B,2,FALSE)</f>
        <v>#N/A</v>
      </c>
      <c r="I544" s="3" t="s">
        <v>499</v>
      </c>
      <c r="J5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5" spans="1:10" x14ac:dyDescent="0.25">
      <c r="A545">
        <v>544</v>
      </c>
      <c r="B545" s="1">
        <v>45874.454236111102</v>
      </c>
      <c r="C545" s="1">
        <v>45874.454513888901</v>
      </c>
      <c r="D545" s="3" t="s">
        <v>20</v>
      </c>
      <c r="E545" s="3" t="s">
        <v>13</v>
      </c>
      <c r="F545" s="3"/>
      <c r="G545" s="2">
        <v>34133</v>
      </c>
      <c r="H545" s="2" t="str">
        <f>VLOOKUP(G545,Produtos!A:B,2,FALSE)</f>
        <v>RED BULL SUM MAR E MELAO LT 250ML CX C24</v>
      </c>
      <c r="I545" s="3" t="s">
        <v>491</v>
      </c>
      <c r="J5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6" spans="1:10" x14ac:dyDescent="0.25">
      <c r="A546">
        <v>545</v>
      </c>
      <c r="B546" s="1">
        <v>45875.3212152778</v>
      </c>
      <c r="C546" s="1">
        <v>45875.321851851797</v>
      </c>
      <c r="D546" s="3" t="s">
        <v>20</v>
      </c>
      <c r="E546" s="3" t="s">
        <v>21</v>
      </c>
      <c r="F546" s="3"/>
      <c r="G546" s="2">
        <v>9071</v>
      </c>
      <c r="H546" s="2" t="str">
        <f>VLOOKUP(G546,Produtos!A:B,2,FALSE)</f>
        <v>CARACU LATA 350ML SH C/12 NPAL</v>
      </c>
      <c r="I546" s="3" t="s">
        <v>491</v>
      </c>
      <c r="J5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7" spans="1:10" x14ac:dyDescent="0.25">
      <c r="A547">
        <v>546</v>
      </c>
      <c r="B547" s="1">
        <v>45875.3226041667</v>
      </c>
      <c r="C547" s="1">
        <v>45875.323229166701</v>
      </c>
      <c r="D547" s="3" t="s">
        <v>18</v>
      </c>
      <c r="E547" s="3" t="s">
        <v>34</v>
      </c>
      <c r="F547" s="3"/>
      <c r="G547" s="2">
        <v>1166</v>
      </c>
      <c r="H547" s="2" t="str">
        <f>VLOOKUP(G547,Produtos!A:B,2,FALSE)</f>
        <v>SUKITA UVA PET 2L CAIXA C/6</v>
      </c>
      <c r="I547" s="3" t="s">
        <v>493</v>
      </c>
      <c r="J5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8" spans="1:10" x14ac:dyDescent="0.25">
      <c r="A548">
        <v>547</v>
      </c>
      <c r="B548" s="1">
        <v>45875.3226041667</v>
      </c>
      <c r="C548" s="1">
        <v>45875.323240740698</v>
      </c>
      <c r="D548" s="3" t="s">
        <v>18</v>
      </c>
      <c r="E548" s="3" t="s">
        <v>34</v>
      </c>
      <c r="F548" s="3"/>
      <c r="G548" s="2">
        <v>1166</v>
      </c>
      <c r="H548" s="2" t="str">
        <f>VLOOKUP(G548,Produtos!A:B,2,FALSE)</f>
        <v>SUKITA UVA PET 2L CAIXA C/6</v>
      </c>
      <c r="I548" s="3" t="s">
        <v>493</v>
      </c>
      <c r="J5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49" spans="1:10" x14ac:dyDescent="0.25">
      <c r="A549">
        <v>548</v>
      </c>
      <c r="B549" s="1">
        <v>45875.321990740696</v>
      </c>
      <c r="C549" s="1">
        <v>45875.323726851799</v>
      </c>
      <c r="D549" s="3" t="s">
        <v>20</v>
      </c>
      <c r="E549" s="3" t="s">
        <v>21</v>
      </c>
      <c r="F549" s="3"/>
      <c r="G549" s="2">
        <v>9084</v>
      </c>
      <c r="H549" s="2" t="str">
        <f>VLOOKUP(G549,Produtos!A:B,2,FALSE)</f>
        <v>GUARANA CHP ANTARCT LT350ML SH C/12 NPAL</v>
      </c>
      <c r="I549" s="3" t="s">
        <v>491</v>
      </c>
      <c r="J5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0" spans="1:10" x14ac:dyDescent="0.25">
      <c r="A550">
        <v>549</v>
      </c>
      <c r="B550" s="1">
        <v>45875.336168981499</v>
      </c>
      <c r="C550" s="1">
        <v>45875.336817129602</v>
      </c>
      <c r="D550" s="3" t="s">
        <v>20</v>
      </c>
      <c r="E550" s="3" t="s">
        <v>24</v>
      </c>
      <c r="F550" s="3"/>
      <c r="G550" s="2">
        <v>24168</v>
      </c>
      <c r="H550" s="2" t="str">
        <f>VLOOKUP(G550,Produtos!A:B,2,FALSE)</f>
        <v>MICHELOB ULTRA N LN 330ML SP SH C/4</v>
      </c>
      <c r="I550" s="3" t="s">
        <v>500</v>
      </c>
      <c r="J5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1" spans="1:10" x14ac:dyDescent="0.25">
      <c r="A551">
        <v>550</v>
      </c>
      <c r="B551" s="1">
        <v>45875.336875000001</v>
      </c>
      <c r="C551" s="1">
        <v>45875.337546296301</v>
      </c>
      <c r="D551" s="3" t="s">
        <v>20</v>
      </c>
      <c r="E551" s="3" t="s">
        <v>24</v>
      </c>
      <c r="F551" s="3"/>
      <c r="G551" s="2">
        <v>371</v>
      </c>
      <c r="H551" s="2" t="str">
        <f>VLOOKUP(G551,Produtos!A:B,2,FALSE)</f>
        <v>MALZBIER BRAHMA LN355ML SIX PAC BAND C/4</v>
      </c>
      <c r="I551" s="3" t="s">
        <v>493</v>
      </c>
      <c r="J5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2" spans="1:10" x14ac:dyDescent="0.25">
      <c r="A552">
        <v>551</v>
      </c>
      <c r="B552" s="1">
        <v>45875.433587963002</v>
      </c>
      <c r="C552" s="1">
        <v>45875.4352083333</v>
      </c>
      <c r="D552" s="3" t="s">
        <v>29</v>
      </c>
      <c r="E552" s="3" t="s">
        <v>24</v>
      </c>
      <c r="F552" s="3"/>
      <c r="G552" s="2">
        <v>24608</v>
      </c>
      <c r="H552" s="2" t="str">
        <f>VLOOKUP(G552,Produtos!A:B,2,FALSE)</f>
        <v>SAN PELLEGRINO COM GAS GARRAFA VD 505 ML CX 24</v>
      </c>
      <c r="I552" s="3" t="s">
        <v>496</v>
      </c>
      <c r="J5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3" spans="1:10" x14ac:dyDescent="0.25">
      <c r="A553">
        <v>552</v>
      </c>
      <c r="B553" s="1">
        <v>45875.4359722222</v>
      </c>
      <c r="C553" s="1">
        <v>45875.437152777798</v>
      </c>
      <c r="D553" s="3" t="s">
        <v>29</v>
      </c>
      <c r="E553" s="3" t="s">
        <v>24</v>
      </c>
      <c r="F553" s="3"/>
      <c r="G553" s="2">
        <v>9068</v>
      </c>
      <c r="H553" s="2" t="str">
        <f>VLOOKUP(G553,Produtos!A:B,2,FALSE)</f>
        <v>SKOL LATA 350ML SH C/12 NPAL</v>
      </c>
      <c r="I553" s="3" t="s">
        <v>505</v>
      </c>
      <c r="J5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4" spans="1:10" x14ac:dyDescent="0.25">
      <c r="A554">
        <v>553</v>
      </c>
      <c r="B554" s="1">
        <v>45875.532719907402</v>
      </c>
      <c r="C554" s="1">
        <v>45875.533275463</v>
      </c>
      <c r="D554" s="3" t="s">
        <v>20</v>
      </c>
      <c r="E554" s="3" t="s">
        <v>24</v>
      </c>
      <c r="F554" s="3"/>
      <c r="G554" s="2">
        <v>24168</v>
      </c>
      <c r="H554" s="2" t="str">
        <f>VLOOKUP(G554,Produtos!A:B,2,FALSE)</f>
        <v>MICHELOB ULTRA N LN 330ML SP SH C/4</v>
      </c>
      <c r="I554" s="3" t="s">
        <v>500</v>
      </c>
      <c r="J5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5" spans="1:10" x14ac:dyDescent="0.25">
      <c r="A555">
        <v>554</v>
      </c>
      <c r="B555" s="1">
        <v>45875.544479166703</v>
      </c>
      <c r="C555" s="1">
        <v>45875.5452083333</v>
      </c>
      <c r="D555" s="3" t="s">
        <v>20</v>
      </c>
      <c r="E555" s="3" t="s">
        <v>21</v>
      </c>
      <c r="F555" s="3"/>
      <c r="G555" s="2">
        <v>504</v>
      </c>
      <c r="H555" s="2" t="str">
        <f>VLOOKUP(G555,Produtos!A:B,2,FALSE)</f>
        <v>PEPSI COLA PET 2L CAIXA C/6</v>
      </c>
      <c r="I555" s="3" t="s">
        <v>500</v>
      </c>
      <c r="J5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6" spans="1:10" x14ac:dyDescent="0.25">
      <c r="A556">
        <v>555</v>
      </c>
      <c r="B556" s="1">
        <v>45875.566145833298</v>
      </c>
      <c r="C556" s="1">
        <v>45875.567071759302</v>
      </c>
      <c r="D556" s="3" t="s">
        <v>18</v>
      </c>
      <c r="E556" s="3" t="s">
        <v>26</v>
      </c>
      <c r="F556" s="3"/>
      <c r="G556" s="2">
        <v>7983</v>
      </c>
      <c r="H556" s="2" t="str">
        <f>VLOOKUP(G556,Produtos!A:B,2,FALSE)</f>
        <v>GATORADE MORANGO MARACUJA PET500ML SIXPA</v>
      </c>
      <c r="I556" s="3" t="s">
        <v>493</v>
      </c>
      <c r="J5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7" spans="1:10" x14ac:dyDescent="0.25">
      <c r="A557">
        <v>556</v>
      </c>
      <c r="B557" s="1">
        <v>45875.667696759301</v>
      </c>
      <c r="C557" s="1">
        <v>45875.6691782407</v>
      </c>
      <c r="D557" s="3" t="s">
        <v>32</v>
      </c>
      <c r="E557" s="3" t="s">
        <v>16</v>
      </c>
      <c r="F557" s="3"/>
      <c r="G557" s="3"/>
      <c r="H557" s="3" t="e">
        <f>VLOOKUP(G557,Produtos!A:B,2,FALSE)</f>
        <v>#N/A</v>
      </c>
      <c r="I557" s="3"/>
      <c r="J5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8" spans="1:10" x14ac:dyDescent="0.25">
      <c r="A558">
        <v>557</v>
      </c>
      <c r="B558" s="1">
        <v>45876.316215277802</v>
      </c>
      <c r="C558" s="1">
        <v>45876.317719907398</v>
      </c>
      <c r="D558" s="3" t="s">
        <v>29</v>
      </c>
      <c r="E558" s="3" t="s">
        <v>16</v>
      </c>
      <c r="F558" s="3"/>
      <c r="G558" s="2">
        <v>19310</v>
      </c>
      <c r="H558" s="2" t="str">
        <f>VLOOKUP(G558,Produtos!A:B,2,FALSE)</f>
        <v>ORIGINAL LATA 350ML CX CARTAO C/12 NPAL</v>
      </c>
      <c r="I558" s="3" t="s">
        <v>500</v>
      </c>
      <c r="J5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59" spans="1:10" x14ac:dyDescent="0.25">
      <c r="A559">
        <v>558</v>
      </c>
      <c r="B559" s="1">
        <v>45877.296712962998</v>
      </c>
      <c r="C559" s="1">
        <v>45877.2972800926</v>
      </c>
      <c r="D559" s="3" t="s">
        <v>20</v>
      </c>
      <c r="E559" s="3" t="s">
        <v>24</v>
      </c>
      <c r="F559" s="3"/>
      <c r="G559" s="2">
        <v>9071</v>
      </c>
      <c r="H559" s="2" t="str">
        <f>VLOOKUP(G559,Produtos!A:B,2,FALSE)</f>
        <v>CARACU LATA 350ML SH C/12 NPAL</v>
      </c>
      <c r="I559" s="3" t="s">
        <v>500</v>
      </c>
      <c r="J5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0" spans="1:10" x14ac:dyDescent="0.25">
      <c r="A560">
        <v>559</v>
      </c>
      <c r="B560" s="1">
        <v>45877.325937499998</v>
      </c>
      <c r="C560" s="1">
        <v>45877.326435185198</v>
      </c>
      <c r="D560" s="3" t="s">
        <v>20</v>
      </c>
      <c r="E560" s="3" t="s">
        <v>21</v>
      </c>
      <c r="F560" s="3"/>
      <c r="G560" s="2">
        <v>9320</v>
      </c>
      <c r="H560" s="2" t="str">
        <f>VLOOKUP(G560,Produtos!A:B,2,FALSE)</f>
        <v>BRAHMA CHOPP LT 473ML SH C/12 NPAL</v>
      </c>
      <c r="I560" s="3" t="s">
        <v>500</v>
      </c>
      <c r="J5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1" spans="1:10" x14ac:dyDescent="0.25">
      <c r="A561">
        <v>560</v>
      </c>
      <c r="B561" s="1">
        <v>45877.326747685198</v>
      </c>
      <c r="C561" s="1">
        <v>45877.327395833301</v>
      </c>
      <c r="D561" s="3" t="s">
        <v>20</v>
      </c>
      <c r="E561" s="3" t="s">
        <v>21</v>
      </c>
      <c r="F561" s="3"/>
      <c r="G561" s="2">
        <v>34420</v>
      </c>
      <c r="H561" s="2" t="str">
        <f>VLOOKUP(G561,Produtos!A:B,2,FALSE)</f>
        <v>RED BULL SUM MARAC E MELAO LT 250ML FP</v>
      </c>
      <c r="I561" s="3" t="s">
        <v>491</v>
      </c>
      <c r="J5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2" spans="1:10" x14ac:dyDescent="0.25">
      <c r="A562">
        <v>561</v>
      </c>
      <c r="B562" s="1">
        <v>45877.375833333303</v>
      </c>
      <c r="C562" s="1">
        <v>45877.376435185201</v>
      </c>
      <c r="D562" s="3" t="s">
        <v>20</v>
      </c>
      <c r="E562" s="3" t="s">
        <v>24</v>
      </c>
      <c r="F562" s="3"/>
      <c r="G562" s="2">
        <v>9067</v>
      </c>
      <c r="H562" s="2" t="str">
        <f>VLOOKUP(G562,Produtos!A:B,2,FALSE)</f>
        <v>ANTARCTICA PILSEN LATA 350ML SH C/12 NPA</v>
      </c>
      <c r="I562" s="3" t="s">
        <v>491</v>
      </c>
      <c r="J5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3" spans="1:10" x14ac:dyDescent="0.25">
      <c r="A563">
        <v>562</v>
      </c>
      <c r="B563" s="1">
        <v>45877.377546296302</v>
      </c>
      <c r="C563" s="1">
        <v>45877.378368055601</v>
      </c>
      <c r="D563" s="3" t="s">
        <v>20</v>
      </c>
      <c r="E563" s="3" t="s">
        <v>26</v>
      </c>
      <c r="F563" s="3"/>
      <c r="G563" s="2">
        <v>19310</v>
      </c>
      <c r="H563" s="2" t="str">
        <f>VLOOKUP(G563,Produtos!A:B,2,FALSE)</f>
        <v>ORIGINAL LATA 350ML CX CARTAO C/12 NPAL</v>
      </c>
      <c r="I563" s="3" t="s">
        <v>491</v>
      </c>
      <c r="J5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4" spans="1:10" x14ac:dyDescent="0.25">
      <c r="A564">
        <v>563</v>
      </c>
      <c r="B564" s="1">
        <v>45878.270555555602</v>
      </c>
      <c r="C564" s="1">
        <v>45878.271168981497</v>
      </c>
      <c r="D564" s="3" t="s">
        <v>20</v>
      </c>
      <c r="E564" s="3" t="s">
        <v>26</v>
      </c>
      <c r="F564" s="3"/>
      <c r="G564" s="2">
        <v>19310</v>
      </c>
      <c r="H564" s="2" t="str">
        <f>VLOOKUP(G564,Produtos!A:B,2,FALSE)</f>
        <v>ORIGINAL LATA 350ML CX CARTAO C/12 NPAL</v>
      </c>
      <c r="I564" s="3" t="s">
        <v>491</v>
      </c>
      <c r="J5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5" spans="1:10" x14ac:dyDescent="0.25">
      <c r="A565">
        <v>564</v>
      </c>
      <c r="B565" s="1">
        <v>45878.272835648102</v>
      </c>
      <c r="C565" s="1">
        <v>45878.274120370399</v>
      </c>
      <c r="D565" s="3" t="s">
        <v>29</v>
      </c>
      <c r="E565" s="3" t="s">
        <v>24</v>
      </c>
      <c r="F565" s="3"/>
      <c r="G565" s="2">
        <v>9067</v>
      </c>
      <c r="H565" s="2" t="str">
        <f>VLOOKUP(G565,Produtos!A:B,2,FALSE)</f>
        <v>ANTARCTICA PILSEN LATA 350ML SH C/12 NPA</v>
      </c>
      <c r="I565" s="3" t="s">
        <v>507</v>
      </c>
      <c r="J5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6" spans="1:10" x14ac:dyDescent="0.25">
      <c r="A566">
        <v>565</v>
      </c>
      <c r="B566" s="1">
        <v>45878.275995370401</v>
      </c>
      <c r="C566" s="1">
        <v>45878.276817129597</v>
      </c>
      <c r="D566" s="3" t="s">
        <v>20</v>
      </c>
      <c r="E566" s="3" t="s">
        <v>24</v>
      </c>
      <c r="F566" s="3"/>
      <c r="G566" s="2">
        <v>18765</v>
      </c>
      <c r="H566" s="2" t="str">
        <f>VLOOKUP(G566,Produtos!A:B,2,FALSE)</f>
        <v>PATAGONIA WEISSE NAC LATA 473ML 6 PACK</v>
      </c>
      <c r="I566" s="3" t="s">
        <v>491</v>
      </c>
      <c r="J5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7" spans="1:10" x14ac:dyDescent="0.25">
      <c r="A567">
        <v>566</v>
      </c>
      <c r="B567" s="1">
        <v>45878.275856481501</v>
      </c>
      <c r="C567" s="1">
        <v>45878.276909722197</v>
      </c>
      <c r="D567" s="3" t="s">
        <v>29</v>
      </c>
      <c r="E567" s="3" t="s">
        <v>24</v>
      </c>
      <c r="F567" s="3"/>
      <c r="G567" s="2">
        <v>34608</v>
      </c>
      <c r="H567" s="2" t="str">
        <f>VLOOKUP(G567,Produtos!A:B,2,FALSE)</f>
        <v>SKOL LATA 350ML SH C/12 MULTIPAK</v>
      </c>
      <c r="I567" s="3" t="s">
        <v>505</v>
      </c>
      <c r="J5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8" spans="1:10" x14ac:dyDescent="0.25">
      <c r="A568">
        <v>567</v>
      </c>
      <c r="B568" s="1">
        <v>45878.276192129597</v>
      </c>
      <c r="C568" s="1">
        <v>45878.276921296303</v>
      </c>
      <c r="D568" s="3" t="s">
        <v>18</v>
      </c>
      <c r="E568" s="3" t="s">
        <v>24</v>
      </c>
      <c r="F568" s="3"/>
      <c r="G568" s="2">
        <v>18764</v>
      </c>
      <c r="H568" s="2" t="str">
        <f>VLOOKUP(G568,Produtos!A:B,2,FALSE)</f>
        <v>PATAGONIA BOH PIL NAC LATA 473ML 6 PACK</v>
      </c>
      <c r="I568" s="3" t="s">
        <v>493</v>
      </c>
      <c r="J5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69" spans="1:10" x14ac:dyDescent="0.25">
      <c r="A569">
        <v>568</v>
      </c>
      <c r="B569" s="1">
        <v>45878.279108796298</v>
      </c>
      <c r="C569" s="1">
        <v>45878.279756944401</v>
      </c>
      <c r="D569" s="3" t="s">
        <v>20</v>
      </c>
      <c r="E569" s="3" t="s">
        <v>24</v>
      </c>
      <c r="F569" s="3"/>
      <c r="G569" s="2">
        <v>9085</v>
      </c>
      <c r="H569" s="2" t="str">
        <f>VLOOKUP(G569,Produtos!A:B,2,FALSE)</f>
        <v>GUARANA CHP ANTARCT DIET LT350ML SHC/12</v>
      </c>
      <c r="I569" s="3" t="s">
        <v>491</v>
      </c>
      <c r="J5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0" spans="1:10" x14ac:dyDescent="0.25">
      <c r="A570">
        <v>569</v>
      </c>
      <c r="B570" s="1">
        <v>45878.318182870396</v>
      </c>
      <c r="C570" s="1">
        <v>45878.318703703699</v>
      </c>
      <c r="D570" s="3" t="s">
        <v>18</v>
      </c>
      <c r="E570" s="3" t="s">
        <v>24</v>
      </c>
      <c r="F570" s="3"/>
      <c r="G570" s="2">
        <v>9071</v>
      </c>
      <c r="H570" s="2" t="str">
        <f>VLOOKUP(G570,Produtos!A:B,2,FALSE)</f>
        <v>CARACU LATA 350ML SH C/12 NPAL</v>
      </c>
      <c r="I570" s="3" t="s">
        <v>493</v>
      </c>
      <c r="J5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1" spans="1:10" x14ac:dyDescent="0.25">
      <c r="A571">
        <v>570</v>
      </c>
      <c r="B571" s="1">
        <v>45878.318715277797</v>
      </c>
      <c r="C571" s="1">
        <v>45878.319317129601</v>
      </c>
      <c r="D571" s="3" t="s">
        <v>18</v>
      </c>
      <c r="E571" s="3" t="s">
        <v>21</v>
      </c>
      <c r="F571" s="3"/>
      <c r="G571" s="2">
        <v>9320</v>
      </c>
      <c r="H571" s="2" t="str">
        <f>VLOOKUP(G571,Produtos!A:B,2,FALSE)</f>
        <v>BRAHMA CHOPP LT 473ML SH C/12 NPAL</v>
      </c>
      <c r="I571" s="3" t="s">
        <v>493</v>
      </c>
      <c r="J5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2" spans="1:10" x14ac:dyDescent="0.25">
      <c r="A572">
        <v>571</v>
      </c>
      <c r="B572" s="1">
        <v>45878.535405092603</v>
      </c>
      <c r="C572" s="1">
        <v>45878.536111111098</v>
      </c>
      <c r="D572" s="3" t="s">
        <v>20</v>
      </c>
      <c r="E572" s="3" t="s">
        <v>24</v>
      </c>
      <c r="F572" s="3"/>
      <c r="G572" s="2">
        <v>14135</v>
      </c>
      <c r="H572" s="2" t="str">
        <f>VLOOKUP(G572,Produtos!A:B,2,FALSE)</f>
        <v>BUDWEISER LT 473ML SIX-PACK SH C/2 NPAL</v>
      </c>
      <c r="I572" s="3" t="s">
        <v>491</v>
      </c>
      <c r="J5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3" spans="1:10" x14ac:dyDescent="0.25">
      <c r="A573">
        <v>572</v>
      </c>
      <c r="B573" s="1">
        <v>45878.536909722199</v>
      </c>
      <c r="C573" s="1">
        <v>45878.537476851903</v>
      </c>
      <c r="D573" s="3" t="s">
        <v>20</v>
      </c>
      <c r="E573" s="3" t="s">
        <v>24</v>
      </c>
      <c r="F573" s="3"/>
      <c r="G573" s="2">
        <v>9096</v>
      </c>
      <c r="H573" s="2" t="str">
        <f>VLOOKUP(G573,Produtos!A:B,2,FALSE)</f>
        <v>PEPSI COLA LATA 350ML SH C/12 NPAL</v>
      </c>
      <c r="I573" s="3" t="s">
        <v>491</v>
      </c>
      <c r="J5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4" spans="1:10" x14ac:dyDescent="0.25">
      <c r="A574">
        <v>573</v>
      </c>
      <c r="B574" s="1">
        <v>45878.878761574102</v>
      </c>
      <c r="C574" s="1">
        <v>45878.888344907398</v>
      </c>
      <c r="D574" s="3" t="s">
        <v>37</v>
      </c>
      <c r="E574" s="3" t="s">
        <v>16</v>
      </c>
      <c r="F574" s="3"/>
      <c r="G574" s="3"/>
      <c r="H574" s="3" t="e">
        <f>VLOOKUP(G574,Produtos!A:B,2,FALSE)</f>
        <v>#N/A</v>
      </c>
      <c r="I574" s="3"/>
      <c r="J5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5" spans="1:10" x14ac:dyDescent="0.25">
      <c r="A575">
        <v>574</v>
      </c>
      <c r="B575" s="1">
        <v>45880.370868055601</v>
      </c>
      <c r="C575" s="1">
        <v>45880.371400463002</v>
      </c>
      <c r="D575" s="3" t="s">
        <v>20</v>
      </c>
      <c r="E575" s="3" t="s">
        <v>21</v>
      </c>
      <c r="F575" s="3"/>
      <c r="G575" s="2">
        <v>9085</v>
      </c>
      <c r="H575" s="2" t="str">
        <f>VLOOKUP(G575,Produtos!A:B,2,FALSE)</f>
        <v>GUARANA CHP ANTARCT DIET LT350ML SHC/12</v>
      </c>
      <c r="I575" s="3" t="s">
        <v>491</v>
      </c>
      <c r="J5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6" spans="1:10" x14ac:dyDescent="0.25">
      <c r="A576">
        <v>575</v>
      </c>
      <c r="B576" s="1">
        <v>45880.371076388903</v>
      </c>
      <c r="C576" s="1">
        <v>45880.371770833299</v>
      </c>
      <c r="D576" s="3" t="s">
        <v>18</v>
      </c>
      <c r="E576" s="3" t="s">
        <v>26</v>
      </c>
      <c r="F576" s="3"/>
      <c r="G576" s="2">
        <v>504</v>
      </c>
      <c r="H576" s="2" t="str">
        <f>VLOOKUP(G576,Produtos!A:B,2,FALSE)</f>
        <v>PEPSI COLA PET 2L CAIXA C/6</v>
      </c>
      <c r="I576" s="3" t="s">
        <v>493</v>
      </c>
      <c r="J5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7" spans="1:10" x14ac:dyDescent="0.25">
      <c r="A577">
        <v>576</v>
      </c>
      <c r="B577" s="1">
        <v>45880.373553240701</v>
      </c>
      <c r="C577" s="1">
        <v>45880.374166666697</v>
      </c>
      <c r="D577" s="3" t="s">
        <v>20</v>
      </c>
      <c r="E577" s="3" t="s">
        <v>21</v>
      </c>
      <c r="F577" s="3"/>
      <c r="G577" s="2">
        <v>9084</v>
      </c>
      <c r="H577" s="2" t="str">
        <f>VLOOKUP(G577,Produtos!A:B,2,FALSE)</f>
        <v>GUARANA CHP ANTARCT LT350ML SH C/12 NPAL</v>
      </c>
      <c r="I577" s="3" t="s">
        <v>491</v>
      </c>
      <c r="J5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8" spans="1:10" x14ac:dyDescent="0.25">
      <c r="A578">
        <v>577</v>
      </c>
      <c r="B578" s="1">
        <v>45880.373391203699</v>
      </c>
      <c r="C578" s="1">
        <v>45880.374421296299</v>
      </c>
      <c r="D578" s="3" t="s">
        <v>29</v>
      </c>
      <c r="E578" s="3" t="s">
        <v>16</v>
      </c>
      <c r="F578" s="3"/>
      <c r="G578" s="2">
        <v>19310</v>
      </c>
      <c r="H578" s="2" t="str">
        <f>VLOOKUP(G578,Produtos!A:B,2,FALSE)</f>
        <v>ORIGINAL LATA 350ML CX CARTAO C/12 NPAL</v>
      </c>
      <c r="I578" s="3" t="s">
        <v>493</v>
      </c>
      <c r="J5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79" spans="1:10" x14ac:dyDescent="0.25">
      <c r="A579">
        <v>578</v>
      </c>
      <c r="B579" s="1">
        <v>45880.374768518501</v>
      </c>
      <c r="C579" s="1">
        <v>45880.375625000001</v>
      </c>
      <c r="D579" s="3" t="s">
        <v>18</v>
      </c>
      <c r="E579" s="3" t="s">
        <v>21</v>
      </c>
      <c r="F579" s="3"/>
      <c r="G579" s="2">
        <v>9081</v>
      </c>
      <c r="H579" s="2" t="str">
        <f>VLOOKUP(G579,Produtos!A:B,2,FALSE)</f>
        <v>MALZBIER BRAHMA LATA 350ML SH C/12 NPAL</v>
      </c>
      <c r="I579" s="3" t="s">
        <v>493</v>
      </c>
      <c r="J5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0" spans="1:10" x14ac:dyDescent="0.25">
      <c r="A580">
        <v>579</v>
      </c>
      <c r="B580" s="1">
        <v>45880.376030092601</v>
      </c>
      <c r="C580" s="1">
        <v>45880.3766203704</v>
      </c>
      <c r="D580" s="3" t="s">
        <v>20</v>
      </c>
      <c r="E580" s="3" t="s">
        <v>34</v>
      </c>
      <c r="F580" s="3"/>
      <c r="G580" s="2">
        <v>9274</v>
      </c>
      <c r="H580" s="2" t="str">
        <f>VLOOKUP(G580,Produtos!A:B,2,FALSE)</f>
        <v>PEPSI ZERO LATA 350ML SH C/12 NPAL</v>
      </c>
      <c r="I580" s="3" t="s">
        <v>491</v>
      </c>
      <c r="J5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1" spans="1:10" x14ac:dyDescent="0.25">
      <c r="A581">
        <v>580</v>
      </c>
      <c r="B581" s="1">
        <v>45880.3774305556</v>
      </c>
      <c r="C581" s="1">
        <v>45880.378773148099</v>
      </c>
      <c r="D581" s="3" t="s">
        <v>29</v>
      </c>
      <c r="E581" s="3" t="s">
        <v>24</v>
      </c>
      <c r="F581" s="3"/>
      <c r="G581" s="2">
        <v>9069</v>
      </c>
      <c r="H581" s="2" t="str">
        <f>VLOOKUP(G581,Produtos!A:B,2,FALSE)</f>
        <v>BRAHMA CHOPP LATA 350ML SH C/12 NPAL</v>
      </c>
      <c r="I581" s="3" t="s">
        <v>500</v>
      </c>
      <c r="J5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2" spans="1:10" x14ac:dyDescent="0.25">
      <c r="A582">
        <v>581</v>
      </c>
      <c r="B582" s="1">
        <v>45880.373553240701</v>
      </c>
      <c r="C582" s="1">
        <v>45880.379351851901</v>
      </c>
      <c r="D582" s="3" t="s">
        <v>20</v>
      </c>
      <c r="E582" s="3" t="s">
        <v>24</v>
      </c>
      <c r="F582" s="3"/>
      <c r="G582" s="2">
        <v>9069</v>
      </c>
      <c r="H582" s="2" t="str">
        <f>VLOOKUP(G582,Produtos!A:B,2,FALSE)</f>
        <v>BRAHMA CHOPP LATA 350ML SH C/12 NPAL</v>
      </c>
      <c r="I582" s="3" t="s">
        <v>491</v>
      </c>
      <c r="J5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3" spans="1:10" x14ac:dyDescent="0.25">
      <c r="A583">
        <v>582</v>
      </c>
      <c r="B583" s="1">
        <v>45880.433472222197</v>
      </c>
      <c r="C583" s="1">
        <v>45880.434409722198</v>
      </c>
      <c r="D583" s="3" t="s">
        <v>18</v>
      </c>
      <c r="E583" s="3" t="s">
        <v>24</v>
      </c>
      <c r="F583" s="3"/>
      <c r="G583" s="2">
        <v>9096</v>
      </c>
      <c r="H583" s="2" t="str">
        <f>VLOOKUP(G583,Produtos!A:B,2,FALSE)</f>
        <v>PEPSI COLA LATA 350ML SH C/12 NPAL</v>
      </c>
      <c r="I583" s="3" t="s">
        <v>493</v>
      </c>
      <c r="J5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4" spans="1:10" x14ac:dyDescent="0.25">
      <c r="A584">
        <v>583</v>
      </c>
      <c r="B584" s="1">
        <v>45880.434432870403</v>
      </c>
      <c r="C584" s="1">
        <v>45880.4350231481</v>
      </c>
      <c r="D584" s="3" t="s">
        <v>18</v>
      </c>
      <c r="E584" s="3" t="s">
        <v>24</v>
      </c>
      <c r="F584" s="3"/>
      <c r="G584" s="2">
        <v>18490</v>
      </c>
      <c r="H584" s="2" t="str">
        <f>VLOOKUP(G584,Produtos!A:B,2,FALSE)</f>
        <v>PATAGONIA AMB LAG NAC LATA 473ML 6PACK</v>
      </c>
      <c r="I584" s="3" t="s">
        <v>493</v>
      </c>
      <c r="J5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5" spans="1:10" x14ac:dyDescent="0.25">
      <c r="A585">
        <v>584</v>
      </c>
      <c r="B585" s="1">
        <v>45880.435057870403</v>
      </c>
      <c r="C585" s="1">
        <v>45880.435590277797</v>
      </c>
      <c r="D585" s="3" t="s">
        <v>18</v>
      </c>
      <c r="E585" s="3" t="s">
        <v>24</v>
      </c>
      <c r="F585" s="3"/>
      <c r="G585" s="2">
        <v>17725</v>
      </c>
      <c r="H585" s="2" t="str">
        <f>VLOOKUP(G585,Produtos!A:B,2,FALSE)</f>
        <v>ANTARCTICA PILSEN LT 350ML SH C/18 MULTP</v>
      </c>
      <c r="I585" s="3" t="s">
        <v>493</v>
      </c>
      <c r="J5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6" spans="1:10" x14ac:dyDescent="0.25">
      <c r="A586">
        <v>585</v>
      </c>
      <c r="B586" s="1">
        <v>45880.4428356481</v>
      </c>
      <c r="C586" s="1">
        <v>45880.443634259304</v>
      </c>
      <c r="D586" s="3" t="s">
        <v>8</v>
      </c>
      <c r="E586" s="3" t="s">
        <v>33</v>
      </c>
      <c r="F586" s="3"/>
      <c r="G586" s="3"/>
      <c r="H586" s="3" t="e">
        <f>VLOOKUP(G586,Produtos!A:B,2,FALSE)</f>
        <v>#N/A</v>
      </c>
      <c r="I586" s="3" t="s">
        <v>495</v>
      </c>
      <c r="J5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7" spans="1:10" x14ac:dyDescent="0.25">
      <c r="A587">
        <v>586</v>
      </c>
      <c r="B587" s="1">
        <v>45880.494178240697</v>
      </c>
      <c r="C587" s="1">
        <v>45880.494641203702</v>
      </c>
      <c r="D587" s="3" t="s">
        <v>18</v>
      </c>
      <c r="E587" s="3" t="s">
        <v>24</v>
      </c>
      <c r="F587" s="3"/>
      <c r="G587" s="2">
        <v>14135</v>
      </c>
      <c r="H587" s="2" t="str">
        <f>VLOOKUP(G587,Produtos!A:B,2,FALSE)</f>
        <v>BUDWEISER LT 473ML SIX-PACK SH C/2 NPAL</v>
      </c>
      <c r="I587" s="3" t="s">
        <v>493</v>
      </c>
      <c r="J5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8" spans="1:10" x14ac:dyDescent="0.25">
      <c r="A588">
        <v>587</v>
      </c>
      <c r="B588" s="1">
        <v>45880.494247685201</v>
      </c>
      <c r="C588" s="1">
        <v>45880.494699074101</v>
      </c>
      <c r="D588" s="3" t="s">
        <v>18</v>
      </c>
      <c r="E588" s="3" t="s">
        <v>24</v>
      </c>
      <c r="F588" s="3"/>
      <c r="G588" s="2">
        <v>14135</v>
      </c>
      <c r="H588" s="2" t="str">
        <f>VLOOKUP(G588,Produtos!A:B,2,FALSE)</f>
        <v>BUDWEISER LT 473ML SIX-PACK SH C/2 NPAL</v>
      </c>
      <c r="I588" s="3" t="s">
        <v>493</v>
      </c>
      <c r="J5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89" spans="1:10" x14ac:dyDescent="0.25">
      <c r="A589">
        <v>588</v>
      </c>
      <c r="B589" s="1">
        <v>45880.494722222204</v>
      </c>
      <c r="C589" s="1">
        <v>45880.495416666701</v>
      </c>
      <c r="D589" s="3" t="s">
        <v>18</v>
      </c>
      <c r="E589" s="3" t="s">
        <v>24</v>
      </c>
      <c r="F589" s="3"/>
      <c r="G589" s="2">
        <v>9071</v>
      </c>
      <c r="H589" s="2" t="str">
        <f>VLOOKUP(G589,Produtos!A:B,2,FALSE)</f>
        <v>CARACU LATA 350ML SH C/12 NPAL</v>
      </c>
      <c r="I589" s="3" t="s">
        <v>493</v>
      </c>
      <c r="J5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0" spans="1:10" x14ac:dyDescent="0.25">
      <c r="A590">
        <v>589</v>
      </c>
      <c r="B590" s="1">
        <v>45880.670011574097</v>
      </c>
      <c r="C590" s="1">
        <v>45880.675000000003</v>
      </c>
      <c r="D590" s="3" t="s">
        <v>32</v>
      </c>
      <c r="E590" s="3" t="s">
        <v>16</v>
      </c>
      <c r="F590" s="3"/>
      <c r="G590" s="3"/>
      <c r="H590" s="3" t="e">
        <f>VLOOKUP(G590,Produtos!A:B,2,FALSE)</f>
        <v>#N/A</v>
      </c>
      <c r="I590" s="3"/>
      <c r="J5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1" spans="1:10" x14ac:dyDescent="0.25">
      <c r="A591">
        <v>590</v>
      </c>
      <c r="B591" s="1">
        <v>45881.3069791667</v>
      </c>
      <c r="C591" s="1">
        <v>45881.310486111099</v>
      </c>
      <c r="D591" s="3" t="s">
        <v>29</v>
      </c>
      <c r="E591" s="3" t="s">
        <v>24</v>
      </c>
      <c r="F591" s="3"/>
      <c r="G591" s="2">
        <v>9068</v>
      </c>
      <c r="H591" s="2" t="str">
        <f>VLOOKUP(G591,Produtos!A:B,2,FALSE)</f>
        <v>SKOL LATA 350ML SH C/12 NPAL</v>
      </c>
      <c r="I591" s="3" t="s">
        <v>500</v>
      </c>
      <c r="J5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2" spans="1:10" x14ac:dyDescent="0.25">
      <c r="A592">
        <v>591</v>
      </c>
      <c r="B592" s="1">
        <v>45881.313518518502</v>
      </c>
      <c r="C592" s="1">
        <v>45881.314421296302</v>
      </c>
      <c r="D592" s="3" t="s">
        <v>29</v>
      </c>
      <c r="E592" s="3" t="s">
        <v>21</v>
      </c>
      <c r="F592" s="3"/>
      <c r="G592" s="2">
        <v>12948</v>
      </c>
      <c r="H592" s="2" t="str">
        <f>VLOOKUP(G592,Produtos!A:B,2,FALSE)</f>
        <v>BRAHMA CHOPP ZERO LATA 350 SH CX C12 NPA</v>
      </c>
      <c r="I592" s="3" t="s">
        <v>500</v>
      </c>
      <c r="J5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3" spans="1:10" x14ac:dyDescent="0.25">
      <c r="A593">
        <v>592</v>
      </c>
      <c r="B593" s="1">
        <v>45881.313530092601</v>
      </c>
      <c r="C593" s="1">
        <v>45881.3144328704</v>
      </c>
      <c r="D593" s="3" t="s">
        <v>29</v>
      </c>
      <c r="E593" s="3" t="s">
        <v>21</v>
      </c>
      <c r="F593" s="3"/>
      <c r="G593" s="2">
        <v>12948</v>
      </c>
      <c r="H593" s="2" t="str">
        <f>VLOOKUP(G593,Produtos!A:B,2,FALSE)</f>
        <v>BRAHMA CHOPP ZERO LATA 350 SH CX C12 NPA</v>
      </c>
      <c r="I593" s="3" t="s">
        <v>500</v>
      </c>
      <c r="J5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4" spans="1:10" x14ac:dyDescent="0.25">
      <c r="A594">
        <v>593</v>
      </c>
      <c r="B594" s="1">
        <v>45881.317766203698</v>
      </c>
      <c r="C594" s="1">
        <v>45881.318715277797</v>
      </c>
      <c r="D594" s="3" t="s">
        <v>29</v>
      </c>
      <c r="E594" s="3" t="s">
        <v>21</v>
      </c>
      <c r="F594" s="3"/>
      <c r="G594" s="2">
        <v>9081</v>
      </c>
      <c r="H594" s="2" t="str">
        <f>VLOOKUP(G594,Produtos!A:B,2,FALSE)</f>
        <v>MALZBIER BRAHMA LATA 350ML SH C/12 NPAL</v>
      </c>
      <c r="I594" s="3" t="s">
        <v>491</v>
      </c>
      <c r="J5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5" spans="1:10" x14ac:dyDescent="0.25">
      <c r="A595">
        <v>594</v>
      </c>
      <c r="B595" s="1">
        <v>45881.317766203698</v>
      </c>
      <c r="C595" s="1">
        <v>45881.318715277797</v>
      </c>
      <c r="D595" s="3" t="s">
        <v>29</v>
      </c>
      <c r="E595" s="3" t="s">
        <v>21</v>
      </c>
      <c r="F595" s="3"/>
      <c r="G595" s="2">
        <v>9081</v>
      </c>
      <c r="H595" s="2" t="str">
        <f>VLOOKUP(G595,Produtos!A:B,2,FALSE)</f>
        <v>MALZBIER BRAHMA LATA 350ML SH C/12 NPAL</v>
      </c>
      <c r="I595" s="3" t="s">
        <v>491</v>
      </c>
      <c r="J5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6" spans="1:10" x14ac:dyDescent="0.25">
      <c r="A596">
        <v>595</v>
      </c>
      <c r="B596" s="1">
        <v>45881.324351851901</v>
      </c>
      <c r="C596" s="1">
        <v>45881.325439814798</v>
      </c>
      <c r="D596" s="3" t="s">
        <v>29</v>
      </c>
      <c r="E596" s="3" t="s">
        <v>24</v>
      </c>
      <c r="F596" s="3"/>
      <c r="G596" s="2">
        <v>9096</v>
      </c>
      <c r="H596" s="2" t="str">
        <f>VLOOKUP(G596,Produtos!A:B,2,FALSE)</f>
        <v>PEPSI COLA LATA 350ML SH C/12 NPAL</v>
      </c>
      <c r="I596" s="3" t="s">
        <v>500</v>
      </c>
      <c r="J5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7" spans="1:10" x14ac:dyDescent="0.25">
      <c r="A597">
        <v>596</v>
      </c>
      <c r="B597" s="1">
        <v>45881.329548611102</v>
      </c>
      <c r="C597" s="1">
        <v>45881.330081018503</v>
      </c>
      <c r="D597" s="3" t="s">
        <v>20</v>
      </c>
      <c r="E597" s="3" t="s">
        <v>26</v>
      </c>
      <c r="F597" s="3"/>
      <c r="G597" s="2">
        <v>17797</v>
      </c>
      <c r="H597" s="2" t="str">
        <f>VLOOKUP(G597,Produtos!A:B,2,FALSE)</f>
        <v>BRAHMA CHOPP LATA 350ML SH 18 MULTIPACK</v>
      </c>
      <c r="I597" s="3" t="s">
        <v>491</v>
      </c>
      <c r="J5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8" spans="1:10" x14ac:dyDescent="0.25">
      <c r="A598">
        <v>597</v>
      </c>
      <c r="B598" s="1">
        <v>45881.331851851799</v>
      </c>
      <c r="C598" s="1">
        <v>45881.332361111097</v>
      </c>
      <c r="D598" s="3" t="s">
        <v>20</v>
      </c>
      <c r="E598" s="3" t="s">
        <v>26</v>
      </c>
      <c r="F598" s="3"/>
      <c r="G598" s="2">
        <v>21666</v>
      </c>
      <c r="H598" s="2" t="str">
        <f>VLOOKUP(G598,Produtos!A:B,2,FALSE)</f>
        <v>RED BULL TROP BR LT 250ML FOUR PACK NPAL</v>
      </c>
      <c r="I598" s="3" t="s">
        <v>493</v>
      </c>
      <c r="J5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599" spans="1:10" x14ac:dyDescent="0.25">
      <c r="A599">
        <v>598</v>
      </c>
      <c r="B599" s="1">
        <v>45881.332395833299</v>
      </c>
      <c r="C599" s="1">
        <v>45881.333229166703</v>
      </c>
      <c r="D599" s="3" t="s">
        <v>20</v>
      </c>
      <c r="E599" s="3" t="s">
        <v>26</v>
      </c>
      <c r="F599" s="3"/>
      <c r="G599" s="2">
        <v>17808</v>
      </c>
      <c r="H599" s="2" t="str">
        <f>VLOOKUP(G599,Produtos!A:B,2,FALSE)</f>
        <v>BUDWEISER OW 330ML CX C 24</v>
      </c>
      <c r="I599" s="3" t="s">
        <v>491</v>
      </c>
      <c r="J5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0" spans="1:10" x14ac:dyDescent="0.25">
      <c r="A600">
        <v>599</v>
      </c>
      <c r="B600" s="1">
        <v>45881.334143518499</v>
      </c>
      <c r="C600" s="1">
        <v>45881.334560185198</v>
      </c>
      <c r="D600" s="3" t="s">
        <v>20</v>
      </c>
      <c r="E600" s="3" t="s">
        <v>24</v>
      </c>
      <c r="F600" s="3"/>
      <c r="G600" s="2">
        <v>9084</v>
      </c>
      <c r="H600" s="2" t="str">
        <f>VLOOKUP(G600,Produtos!A:B,2,FALSE)</f>
        <v>GUARANA CHP ANTARCT LT350ML SH C/12 NPAL</v>
      </c>
      <c r="I600" s="3" t="s">
        <v>491</v>
      </c>
      <c r="J6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1" spans="1:10" x14ac:dyDescent="0.25">
      <c r="A601">
        <v>600</v>
      </c>
      <c r="B601" s="1">
        <v>45881.336168981499</v>
      </c>
      <c r="C601" s="1">
        <v>45881.336678240703</v>
      </c>
      <c r="D601" s="3" t="s">
        <v>20</v>
      </c>
      <c r="E601" s="3" t="s">
        <v>24</v>
      </c>
      <c r="F601" s="3"/>
      <c r="G601" s="2">
        <v>9069</v>
      </c>
      <c r="H601" s="2" t="str">
        <f>VLOOKUP(G601,Produtos!A:B,2,FALSE)</f>
        <v>BRAHMA CHOPP LATA 350ML SH C/12 NPAL</v>
      </c>
      <c r="I601" s="3" t="s">
        <v>491</v>
      </c>
      <c r="J6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2" spans="1:10" x14ac:dyDescent="0.25">
      <c r="A602">
        <v>601</v>
      </c>
      <c r="B602" s="1">
        <v>45881.341921296298</v>
      </c>
      <c r="C602" s="1">
        <v>45881.344340277799</v>
      </c>
      <c r="D602" s="3" t="s">
        <v>29</v>
      </c>
      <c r="E602" s="3" t="s">
        <v>24</v>
      </c>
      <c r="F602" s="3"/>
      <c r="G602" s="2">
        <v>17797</v>
      </c>
      <c r="H602" s="2" t="str">
        <f>VLOOKUP(G602,Produtos!A:B,2,FALSE)</f>
        <v>BRAHMA CHOPP LATA 350ML SH 18 MULTIPACK</v>
      </c>
      <c r="I602" s="3" t="s">
        <v>493</v>
      </c>
      <c r="J6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3" spans="1:10" x14ac:dyDescent="0.25">
      <c r="A603">
        <v>602</v>
      </c>
      <c r="B603" s="1">
        <v>45881.345844907402</v>
      </c>
      <c r="C603" s="1">
        <v>45881.346458333297</v>
      </c>
      <c r="D603" s="3" t="s">
        <v>18</v>
      </c>
      <c r="E603" s="3" t="s">
        <v>24</v>
      </c>
      <c r="F603" s="3"/>
      <c r="G603" s="2">
        <v>23216</v>
      </c>
      <c r="H603" s="2" t="str">
        <f>VLOOKUP(G603,Produtos!A:B,2,FALSE)</f>
        <v>PATAGONIA IPA LATA 473ML 6PACK CARTAO</v>
      </c>
      <c r="I603" s="3" t="s">
        <v>493</v>
      </c>
      <c r="J6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4" spans="1:10" x14ac:dyDescent="0.25">
      <c r="A604">
        <v>603</v>
      </c>
      <c r="B604" s="1">
        <v>45881.348287036999</v>
      </c>
      <c r="C604" s="1">
        <v>45881.349120370403</v>
      </c>
      <c r="D604" s="3" t="s">
        <v>29</v>
      </c>
      <c r="E604" s="3" t="s">
        <v>24</v>
      </c>
      <c r="F604" s="3"/>
      <c r="G604" s="2">
        <v>9091</v>
      </c>
      <c r="H604" s="2" t="str">
        <f>VLOOKUP(G604,Produtos!A:B,2,FALSE)</f>
        <v>TONICA ANTARCTICA LT 350ML SH C/12 NPAL</v>
      </c>
      <c r="I604" s="3" t="s">
        <v>491</v>
      </c>
      <c r="J6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5" spans="1:10" x14ac:dyDescent="0.25">
      <c r="A605">
        <v>604</v>
      </c>
      <c r="B605" s="1">
        <v>45881.5455671296</v>
      </c>
      <c r="C605" s="1">
        <v>45881.5460185185</v>
      </c>
      <c r="D605" s="3" t="s">
        <v>20</v>
      </c>
      <c r="E605" s="3" t="s">
        <v>24</v>
      </c>
      <c r="F605" s="3"/>
      <c r="G605" s="2">
        <v>9096</v>
      </c>
      <c r="H605" s="2" t="str">
        <f>VLOOKUP(G605,Produtos!A:B,2,FALSE)</f>
        <v>PEPSI COLA LATA 350ML SH C/12 NPAL</v>
      </c>
      <c r="I605" s="3" t="s">
        <v>508</v>
      </c>
      <c r="J6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6" spans="1:10" x14ac:dyDescent="0.25">
      <c r="A606">
        <v>605</v>
      </c>
      <c r="B606" s="1">
        <v>45882.431898148097</v>
      </c>
      <c r="C606" s="1">
        <v>45882.432546296302</v>
      </c>
      <c r="D606" s="3" t="s">
        <v>32</v>
      </c>
      <c r="E606" s="3" t="s">
        <v>24</v>
      </c>
      <c r="F606" s="3"/>
      <c r="G606" s="2">
        <v>18490</v>
      </c>
      <c r="H606" s="2" t="str">
        <f>VLOOKUP(G606,Produtos!A:B,2,FALSE)</f>
        <v>PATAGONIA AMB LAG NAC LATA 473ML 6PACK</v>
      </c>
      <c r="I606" s="3" t="s">
        <v>493</v>
      </c>
      <c r="J6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7" spans="1:10" x14ac:dyDescent="0.25">
      <c r="A607">
        <v>606</v>
      </c>
      <c r="B607" s="1">
        <v>45882.432557870401</v>
      </c>
      <c r="C607" s="1">
        <v>45882.433113425897</v>
      </c>
      <c r="D607" s="3" t="s">
        <v>18</v>
      </c>
      <c r="E607" s="3" t="s">
        <v>24</v>
      </c>
      <c r="F607" s="3"/>
      <c r="G607" s="2">
        <v>20651</v>
      </c>
      <c r="H607" s="2" t="str">
        <f>VLOOKUP(G607,Produtos!A:B,2,FALSE)</f>
        <v>CORONA N LT SLEEK 350ML CX 8</v>
      </c>
      <c r="I607" s="3" t="s">
        <v>493</v>
      </c>
      <c r="J6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8" spans="1:10" x14ac:dyDescent="0.25">
      <c r="A608">
        <v>607</v>
      </c>
      <c r="B608" s="1">
        <v>45882.752094907402</v>
      </c>
      <c r="C608" s="1">
        <v>45882.7527430556</v>
      </c>
      <c r="D608" s="3" t="s">
        <v>18</v>
      </c>
      <c r="E608" s="3" t="s">
        <v>24</v>
      </c>
      <c r="F608" s="3"/>
      <c r="G608" s="2">
        <v>20651</v>
      </c>
      <c r="H608" s="2" t="str">
        <f>VLOOKUP(G608,Produtos!A:B,2,FALSE)</f>
        <v>CORONA N LT SLEEK 350ML CX 8</v>
      </c>
      <c r="I608" s="3" t="s">
        <v>493</v>
      </c>
      <c r="J6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09" spans="1:10" x14ac:dyDescent="0.25">
      <c r="A609">
        <v>608</v>
      </c>
      <c r="B609" s="1">
        <v>45883.418333333299</v>
      </c>
      <c r="C609" s="1">
        <v>45883.418946759302</v>
      </c>
      <c r="D609" s="3" t="s">
        <v>18</v>
      </c>
      <c r="E609" s="3" t="s">
        <v>34</v>
      </c>
      <c r="F609" s="3"/>
      <c r="G609" s="2">
        <v>9068</v>
      </c>
      <c r="H609" s="2" t="str">
        <f>VLOOKUP(G609,Produtos!A:B,2,FALSE)</f>
        <v>SKOL LATA 350ML SH C/12 NPAL</v>
      </c>
      <c r="I609" s="3" t="s">
        <v>493</v>
      </c>
      <c r="J6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0" spans="1:10" x14ac:dyDescent="0.25">
      <c r="A610">
        <v>609</v>
      </c>
      <c r="B610" s="1">
        <v>45883.433043981502</v>
      </c>
      <c r="C610" s="1">
        <v>45883.433622685203</v>
      </c>
      <c r="D610" s="3" t="s">
        <v>18</v>
      </c>
      <c r="E610" s="3" t="s">
        <v>24</v>
      </c>
      <c r="F610" s="3"/>
      <c r="G610" s="2">
        <v>9069</v>
      </c>
      <c r="H610" s="2" t="str">
        <f>VLOOKUP(G610,Produtos!A:B,2,FALSE)</f>
        <v>BRAHMA CHOPP LATA 350ML SH C/12 NPAL</v>
      </c>
      <c r="I610" s="3" t="s">
        <v>493</v>
      </c>
      <c r="J6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1" spans="1:10" x14ac:dyDescent="0.25">
      <c r="A611">
        <v>610</v>
      </c>
      <c r="B611" s="1">
        <v>45883.433634259301</v>
      </c>
      <c r="C611" s="1">
        <v>45883.435717592598</v>
      </c>
      <c r="D611" s="3" t="s">
        <v>18</v>
      </c>
      <c r="E611" s="3" t="s">
        <v>24</v>
      </c>
      <c r="F611" s="3"/>
      <c r="G611" s="2">
        <v>9069</v>
      </c>
      <c r="H611" s="2" t="str">
        <f>VLOOKUP(G611,Produtos!A:B,2,FALSE)</f>
        <v>BRAHMA CHOPP LATA 350ML SH C/12 NPAL</v>
      </c>
      <c r="I611" s="3" t="s">
        <v>493</v>
      </c>
      <c r="J6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2" spans="1:10" x14ac:dyDescent="0.25">
      <c r="A612">
        <v>611</v>
      </c>
      <c r="B612" s="1">
        <v>45883.435740740701</v>
      </c>
      <c r="C612" s="1">
        <v>45883.436400462997</v>
      </c>
      <c r="D612" s="3" t="s">
        <v>18</v>
      </c>
      <c r="E612" s="3" t="s">
        <v>24</v>
      </c>
      <c r="F612" s="3"/>
      <c r="G612" s="2">
        <v>18765</v>
      </c>
      <c r="H612" s="2" t="str">
        <f>VLOOKUP(G612,Produtos!A:B,2,FALSE)</f>
        <v>PATAGONIA WEISSE NAC LATA 473ML 6 PACK</v>
      </c>
      <c r="I612" s="3" t="s">
        <v>493</v>
      </c>
      <c r="J6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3" spans="1:10" x14ac:dyDescent="0.25">
      <c r="A613">
        <v>612</v>
      </c>
      <c r="B613" s="1">
        <v>45883.542881944399</v>
      </c>
      <c r="C613" s="1">
        <v>45883.543576388904</v>
      </c>
      <c r="D613" s="3" t="s">
        <v>20</v>
      </c>
      <c r="E613" s="3" t="s">
        <v>24</v>
      </c>
      <c r="F613" s="3"/>
      <c r="G613" s="2">
        <v>9069</v>
      </c>
      <c r="H613" s="2" t="str">
        <f>VLOOKUP(G613,Produtos!A:B,2,FALSE)</f>
        <v>BRAHMA CHOPP LATA 350ML SH C/12 NPAL</v>
      </c>
      <c r="I613" s="3" t="s">
        <v>491</v>
      </c>
      <c r="J6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4" spans="1:10" x14ac:dyDescent="0.25">
      <c r="A614">
        <v>613</v>
      </c>
      <c r="B614" s="1">
        <v>45883.545196759304</v>
      </c>
      <c r="C614" s="1">
        <v>45883.5456134259</v>
      </c>
      <c r="D614" s="3" t="s">
        <v>20</v>
      </c>
      <c r="E614" s="3" t="s">
        <v>24</v>
      </c>
      <c r="F614" s="3"/>
      <c r="G614" s="2">
        <v>9069</v>
      </c>
      <c r="H614" s="2" t="str">
        <f>VLOOKUP(G614,Produtos!A:B,2,FALSE)</f>
        <v>BRAHMA CHOPP LATA 350ML SH C/12 NPAL</v>
      </c>
      <c r="I614" s="3" t="s">
        <v>491</v>
      </c>
      <c r="J6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5" spans="1:10" x14ac:dyDescent="0.25">
      <c r="A615">
        <v>614</v>
      </c>
      <c r="B615" s="1">
        <v>45883.548368055599</v>
      </c>
      <c r="C615" s="1">
        <v>45883.548796296302</v>
      </c>
      <c r="D615" s="3" t="s">
        <v>20</v>
      </c>
      <c r="E615" s="3" t="s">
        <v>24</v>
      </c>
      <c r="F615" s="3"/>
      <c r="G615" s="2">
        <v>33818</v>
      </c>
      <c r="H615" s="2" t="str">
        <f>VLOOKUP(G615,Produtos!A:B,2,FALSE)</f>
        <v>ORIGINAL LT 350ML SH C/12 NP MULTIPACK</v>
      </c>
      <c r="I615" s="3" t="s">
        <v>491</v>
      </c>
      <c r="J6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6" spans="1:10" x14ac:dyDescent="0.25">
      <c r="A616">
        <v>615</v>
      </c>
      <c r="B616" s="1">
        <v>45883.623842592599</v>
      </c>
      <c r="C616" s="1">
        <v>45883.624247685198</v>
      </c>
      <c r="D616" s="3" t="s">
        <v>18</v>
      </c>
      <c r="E616" s="3" t="s">
        <v>24</v>
      </c>
      <c r="F616" s="3"/>
      <c r="G616" s="2">
        <v>504</v>
      </c>
      <c r="H616" s="2" t="str">
        <f>VLOOKUP(G616,Produtos!A:B,2,FALSE)</f>
        <v>PEPSI COLA PET 2L CAIXA C/6</v>
      </c>
      <c r="I616" s="3" t="s">
        <v>493</v>
      </c>
      <c r="J6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7" spans="1:10" x14ac:dyDescent="0.25">
      <c r="A617">
        <v>616</v>
      </c>
      <c r="B617" s="1">
        <v>45883.625682870399</v>
      </c>
      <c r="C617" s="1">
        <v>45883.626284722202</v>
      </c>
      <c r="D617" s="3" t="s">
        <v>18</v>
      </c>
      <c r="E617" s="3" t="s">
        <v>24</v>
      </c>
      <c r="F617" s="3"/>
      <c r="G617" s="2">
        <v>9093</v>
      </c>
      <c r="H617" s="2" t="str">
        <f>VLOOKUP(G617,Produtos!A:B,2,FALSE)</f>
        <v>PEPSI TWIST LATA 350ML SH C/12 NPAL</v>
      </c>
      <c r="I617" s="3" t="s">
        <v>493</v>
      </c>
      <c r="J6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8" spans="1:10" x14ac:dyDescent="0.25">
      <c r="A618">
        <v>617</v>
      </c>
      <c r="B618" s="1">
        <v>45883.626944444397</v>
      </c>
      <c r="C618" s="1">
        <v>45883.627476851798</v>
      </c>
      <c r="D618" s="3" t="s">
        <v>18</v>
      </c>
      <c r="E618" s="3" t="s">
        <v>24</v>
      </c>
      <c r="F618" s="3"/>
      <c r="G618" s="2">
        <v>9089</v>
      </c>
      <c r="H618" s="2" t="str">
        <f>VLOOKUP(G618,Produtos!A:B,2,FALSE)</f>
        <v>SUKITA LATA 350ML SH C/12 NPAL</v>
      </c>
      <c r="I618" s="3" t="s">
        <v>493</v>
      </c>
      <c r="J6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19" spans="1:10" x14ac:dyDescent="0.25">
      <c r="A619">
        <v>618</v>
      </c>
      <c r="B619" s="1">
        <v>45884.351400462998</v>
      </c>
      <c r="C619" s="1">
        <v>45884.351875</v>
      </c>
      <c r="D619" s="3" t="s">
        <v>18</v>
      </c>
      <c r="E619" s="3" t="s">
        <v>24</v>
      </c>
      <c r="F619" s="3"/>
      <c r="G619" s="2">
        <v>9067</v>
      </c>
      <c r="H619" s="2" t="str">
        <f>VLOOKUP(G619,Produtos!A:B,2,FALSE)</f>
        <v>ANTARCTICA PILSEN LATA 350ML SH C/12 NPA</v>
      </c>
      <c r="I619" s="3" t="s">
        <v>493</v>
      </c>
      <c r="J6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0" spans="1:10" x14ac:dyDescent="0.25">
      <c r="A620">
        <v>619</v>
      </c>
      <c r="B620" s="1">
        <v>45884.351898148103</v>
      </c>
      <c r="C620" s="1">
        <v>45884.352488425902</v>
      </c>
      <c r="D620" s="3" t="s">
        <v>18</v>
      </c>
      <c r="E620" s="3" t="s">
        <v>24</v>
      </c>
      <c r="F620" s="3"/>
      <c r="G620" s="2">
        <v>9093</v>
      </c>
      <c r="H620" s="2" t="str">
        <f>VLOOKUP(G620,Produtos!A:B,2,FALSE)</f>
        <v>PEPSI TWIST LATA 350ML SH C/12 NPAL</v>
      </c>
      <c r="I620" s="3" t="s">
        <v>493</v>
      </c>
      <c r="J6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1" spans="1:10" x14ac:dyDescent="0.25">
      <c r="A621">
        <v>620</v>
      </c>
      <c r="B621" s="1">
        <v>45884.352500000001</v>
      </c>
      <c r="C621" s="1">
        <v>45884.352997685201</v>
      </c>
      <c r="D621" s="3" t="s">
        <v>18</v>
      </c>
      <c r="E621" s="3" t="s">
        <v>24</v>
      </c>
      <c r="F621" s="3"/>
      <c r="G621" s="2">
        <v>19729</v>
      </c>
      <c r="H621" s="2" t="str">
        <f>VLOOKUP(G621,Produtos!A:B,2,FALSE)</f>
        <v>STELLA ARTOIS LT SLEEK 350ML C 8 CX CART</v>
      </c>
      <c r="I621" s="3" t="s">
        <v>493</v>
      </c>
      <c r="J6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2" spans="1:10" x14ac:dyDescent="0.25">
      <c r="A622">
        <v>621</v>
      </c>
      <c r="B622" s="1">
        <v>45885.451898148101</v>
      </c>
      <c r="C622" s="1">
        <v>45885.4523611111</v>
      </c>
      <c r="D622" s="3" t="s">
        <v>18</v>
      </c>
      <c r="E622" s="3" t="s">
        <v>24</v>
      </c>
      <c r="F622" s="3"/>
      <c r="G622" s="2">
        <v>20651</v>
      </c>
      <c r="H622" s="2" t="str">
        <f>VLOOKUP(G622,Produtos!A:B,2,FALSE)</f>
        <v>CORONA N LT SLEEK 350ML CX 8</v>
      </c>
      <c r="I622" s="3" t="s">
        <v>493</v>
      </c>
      <c r="J6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3" spans="1:10" x14ac:dyDescent="0.25">
      <c r="A623">
        <v>622</v>
      </c>
      <c r="B623" s="1">
        <v>45885.452384259297</v>
      </c>
      <c r="C623" s="1">
        <v>45885.4530324074</v>
      </c>
      <c r="D623" s="3" t="s">
        <v>18</v>
      </c>
      <c r="E623" s="3" t="s">
        <v>24</v>
      </c>
      <c r="F623" s="3"/>
      <c r="G623" s="2">
        <v>9092</v>
      </c>
      <c r="H623" s="2" t="str">
        <f>VLOOKUP(G623,Produtos!A:B,2,FALSE)</f>
        <v>TONICA ANTARCTICA DIET LT350MLSHC/12 PAL</v>
      </c>
      <c r="I623" s="3" t="s">
        <v>493</v>
      </c>
      <c r="J6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4" spans="1:10" x14ac:dyDescent="0.25">
      <c r="A624">
        <v>623</v>
      </c>
      <c r="B624" s="1">
        <v>45885.453113425901</v>
      </c>
      <c r="C624" s="1">
        <v>45885.4536689815</v>
      </c>
      <c r="D624" s="3" t="s">
        <v>20</v>
      </c>
      <c r="E624" s="3" t="s">
        <v>24</v>
      </c>
      <c r="F624" s="3"/>
      <c r="G624" s="2">
        <v>9069</v>
      </c>
      <c r="H624" s="2" t="str">
        <f>VLOOKUP(G624,Produtos!A:B,2,FALSE)</f>
        <v>BRAHMA CHOPP LATA 350ML SH C/12 NPAL</v>
      </c>
      <c r="I624" s="3" t="s">
        <v>491</v>
      </c>
      <c r="J6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5" spans="1:10" x14ac:dyDescent="0.25">
      <c r="A625">
        <v>624</v>
      </c>
      <c r="B625" s="1">
        <v>45885.453761574099</v>
      </c>
      <c r="C625" s="1">
        <v>45885.454467592601</v>
      </c>
      <c r="D625" s="3" t="s">
        <v>18</v>
      </c>
      <c r="E625" s="3" t="s">
        <v>24</v>
      </c>
      <c r="F625" s="3"/>
      <c r="G625" s="2">
        <v>18137</v>
      </c>
      <c r="H625" s="2" t="str">
        <f>VLOOKUP(G625,Produtos!A:B,2,FALSE)</f>
        <v>GUARANA CHP ANTARCTICA PET 3L C4 SH LISO</v>
      </c>
      <c r="I625" s="3" t="s">
        <v>507</v>
      </c>
      <c r="J6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6" spans="1:10" x14ac:dyDescent="0.25">
      <c r="A626">
        <v>625</v>
      </c>
      <c r="B626" s="1">
        <v>45885.454907407402</v>
      </c>
      <c r="C626" s="1">
        <v>45885.455439814803</v>
      </c>
      <c r="D626" s="3" t="s">
        <v>20</v>
      </c>
      <c r="E626" s="3" t="s">
        <v>26</v>
      </c>
      <c r="F626" s="3"/>
      <c r="G626" s="2">
        <v>9069</v>
      </c>
      <c r="H626" s="2" t="str">
        <f>VLOOKUP(G626,Produtos!A:B,2,FALSE)</f>
        <v>BRAHMA CHOPP LATA 350ML SH C/12 NPAL</v>
      </c>
      <c r="I626" s="3" t="s">
        <v>491</v>
      </c>
      <c r="J6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7" spans="1:10" x14ac:dyDescent="0.25">
      <c r="A627">
        <v>626</v>
      </c>
      <c r="B627" s="1">
        <v>45885.466898148101</v>
      </c>
      <c r="C627" s="1">
        <v>45885.4674421296</v>
      </c>
      <c r="D627" s="3" t="s">
        <v>8</v>
      </c>
      <c r="E627" s="3" t="s">
        <v>16</v>
      </c>
      <c r="F627" s="3"/>
      <c r="G627" s="3"/>
      <c r="H627" s="3" t="e">
        <f>VLOOKUP(G627,Produtos!A:B,2,FALSE)</f>
        <v>#N/A</v>
      </c>
      <c r="I627" s="3" t="s">
        <v>495</v>
      </c>
      <c r="J6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8" spans="1:10" x14ac:dyDescent="0.25">
      <c r="A628">
        <v>627</v>
      </c>
      <c r="B628" s="1">
        <v>45885.498391203699</v>
      </c>
      <c r="C628" s="1">
        <v>45885.498888888898</v>
      </c>
      <c r="D628" s="3" t="s">
        <v>18</v>
      </c>
      <c r="E628" s="3" t="s">
        <v>26</v>
      </c>
      <c r="F628" s="3"/>
      <c r="G628" s="2">
        <v>9068</v>
      </c>
      <c r="H628" s="2" t="str">
        <f>VLOOKUP(G628,Produtos!A:B,2,FALSE)</f>
        <v>SKOL LATA 350ML SH C/12 NPAL</v>
      </c>
      <c r="I628" s="3" t="s">
        <v>493</v>
      </c>
      <c r="J6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29" spans="1:10" x14ac:dyDescent="0.25">
      <c r="A629">
        <v>628</v>
      </c>
      <c r="B629" s="1">
        <v>45887.369895833297</v>
      </c>
      <c r="C629" s="1">
        <v>45887.370462963001</v>
      </c>
      <c r="D629" s="3" t="s">
        <v>18</v>
      </c>
      <c r="E629" s="3" t="s">
        <v>24</v>
      </c>
      <c r="F629" s="3"/>
      <c r="G629" s="2">
        <v>9071</v>
      </c>
      <c r="H629" s="2" t="str">
        <f>VLOOKUP(G629,Produtos!A:B,2,FALSE)</f>
        <v>CARACU LATA 350ML SH C/12 NPAL</v>
      </c>
      <c r="I629" s="3" t="s">
        <v>493</v>
      </c>
      <c r="J6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0" spans="1:10" x14ac:dyDescent="0.25">
      <c r="A630">
        <v>629</v>
      </c>
      <c r="B630" s="1">
        <v>45887.431782407402</v>
      </c>
      <c r="C630" s="1">
        <v>45887.432372685202</v>
      </c>
      <c r="D630" s="3" t="s">
        <v>20</v>
      </c>
      <c r="E630" s="3" t="s">
        <v>24</v>
      </c>
      <c r="F630" s="3"/>
      <c r="G630" s="2">
        <v>9068</v>
      </c>
      <c r="H630" s="2" t="str">
        <f>VLOOKUP(G630,Produtos!A:B,2,FALSE)</f>
        <v>SKOL LATA 350ML SH C/12 NPAL</v>
      </c>
      <c r="I630" s="3" t="s">
        <v>491</v>
      </c>
      <c r="J6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1" spans="1:10" x14ac:dyDescent="0.25">
      <c r="A631">
        <v>630</v>
      </c>
      <c r="B631" s="1">
        <v>45887.434918981497</v>
      </c>
      <c r="C631" s="1">
        <v>45887.435474537</v>
      </c>
      <c r="D631" s="3" t="s">
        <v>20</v>
      </c>
      <c r="E631" s="3" t="s">
        <v>21</v>
      </c>
      <c r="F631" s="3"/>
      <c r="G631" s="2">
        <v>17797</v>
      </c>
      <c r="H631" s="2" t="str">
        <f>VLOOKUP(G631,Produtos!A:B,2,FALSE)</f>
        <v>BRAHMA CHOPP LATA 350ML SH 18 MULTIPACK</v>
      </c>
      <c r="I631" s="3" t="s">
        <v>491</v>
      </c>
      <c r="J6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2" spans="1:10" x14ac:dyDescent="0.25">
      <c r="A632">
        <v>631</v>
      </c>
      <c r="B632" s="1">
        <v>45887.435127314799</v>
      </c>
      <c r="C632" s="1">
        <v>45887.4356134259</v>
      </c>
      <c r="D632" s="3" t="s">
        <v>18</v>
      </c>
      <c r="E632" s="3" t="s">
        <v>24</v>
      </c>
      <c r="F632" s="3"/>
      <c r="G632" s="2">
        <v>17797</v>
      </c>
      <c r="H632" s="2" t="str">
        <f>VLOOKUP(G632,Produtos!A:B,2,FALSE)</f>
        <v>BRAHMA CHOPP LATA 350ML SH 18 MULTIPACK</v>
      </c>
      <c r="I632" s="3" t="s">
        <v>493</v>
      </c>
      <c r="J6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3" spans="1:10" x14ac:dyDescent="0.25">
      <c r="A633">
        <v>632</v>
      </c>
      <c r="B633" s="1">
        <v>45887.559675925899</v>
      </c>
      <c r="C633" s="1">
        <v>45887.560509259303</v>
      </c>
      <c r="D633" s="3" t="s">
        <v>20</v>
      </c>
      <c r="E633" s="3" t="s">
        <v>21</v>
      </c>
      <c r="F633" s="3"/>
      <c r="G633" s="2">
        <v>504</v>
      </c>
      <c r="H633" s="2" t="str">
        <f>VLOOKUP(G633,Produtos!A:B,2,FALSE)</f>
        <v>PEPSI COLA PET 2L CAIXA C/6</v>
      </c>
      <c r="I633" s="3" t="s">
        <v>507</v>
      </c>
      <c r="J6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4" spans="1:10" x14ac:dyDescent="0.25">
      <c r="A634">
        <v>633</v>
      </c>
      <c r="B634" s="1">
        <v>45888.333854166704</v>
      </c>
      <c r="C634" s="1">
        <v>45888.334305555603</v>
      </c>
      <c r="D634" s="3" t="s">
        <v>20</v>
      </c>
      <c r="E634" s="3" t="s">
        <v>24</v>
      </c>
      <c r="F634" s="3"/>
      <c r="G634" s="2">
        <v>9068</v>
      </c>
      <c r="H634" s="2" t="str">
        <f>VLOOKUP(G634,Produtos!A:B,2,FALSE)</f>
        <v>SKOL LATA 350ML SH C/12 NPAL</v>
      </c>
      <c r="I634" s="3" t="s">
        <v>491</v>
      </c>
      <c r="J6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5" spans="1:10" x14ac:dyDescent="0.25">
      <c r="A635">
        <v>634</v>
      </c>
      <c r="B635" s="1">
        <v>45888.335358796299</v>
      </c>
      <c r="C635" s="1">
        <v>45888.335856481499</v>
      </c>
      <c r="D635" s="3" t="s">
        <v>20</v>
      </c>
      <c r="E635" s="3" t="s">
        <v>24</v>
      </c>
      <c r="F635" s="3"/>
      <c r="G635" s="2">
        <v>9069</v>
      </c>
      <c r="H635" s="2" t="str">
        <f>VLOOKUP(G635,Produtos!A:B,2,FALSE)</f>
        <v>BRAHMA CHOPP LATA 350ML SH C/12 NPAL</v>
      </c>
      <c r="I635" s="3" t="s">
        <v>491</v>
      </c>
      <c r="J6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6" spans="1:10" x14ac:dyDescent="0.25">
      <c r="A636">
        <v>635</v>
      </c>
      <c r="B636" s="1">
        <v>45888.339293981502</v>
      </c>
      <c r="C636" s="1">
        <v>45888.339895833298</v>
      </c>
      <c r="D636" s="3" t="s">
        <v>18</v>
      </c>
      <c r="E636" s="3" t="s">
        <v>34</v>
      </c>
      <c r="F636" s="3"/>
      <c r="G636" s="2">
        <v>9320</v>
      </c>
      <c r="H636" s="2" t="str">
        <f>VLOOKUP(G636,Produtos!A:B,2,FALSE)</f>
        <v>BRAHMA CHOPP LT 473ML SH C/12 NPAL</v>
      </c>
      <c r="I636" s="3" t="s">
        <v>493</v>
      </c>
      <c r="J6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7" spans="1:10" x14ac:dyDescent="0.25">
      <c r="A637">
        <v>636</v>
      </c>
      <c r="B637" s="1">
        <v>45888.340266203697</v>
      </c>
      <c r="C637" s="1">
        <v>45888.340833333299</v>
      </c>
      <c r="D637" s="3" t="s">
        <v>20</v>
      </c>
      <c r="E637" s="3" t="s">
        <v>26</v>
      </c>
      <c r="F637" s="3"/>
      <c r="G637" s="2">
        <v>19310</v>
      </c>
      <c r="H637" s="2" t="str">
        <f>VLOOKUP(G637,Produtos!A:B,2,FALSE)</f>
        <v>ORIGINAL LATA 350ML CX CARTAO C/12 NPAL</v>
      </c>
      <c r="I637" s="3" t="s">
        <v>491</v>
      </c>
      <c r="J6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8" spans="1:10" x14ac:dyDescent="0.25">
      <c r="A638">
        <v>637</v>
      </c>
      <c r="B638" s="1">
        <v>45888.342777777798</v>
      </c>
      <c r="C638" s="1">
        <v>45888.3432986111</v>
      </c>
      <c r="D638" s="3" t="s">
        <v>18</v>
      </c>
      <c r="E638" s="3" t="s">
        <v>21</v>
      </c>
      <c r="F638" s="3"/>
      <c r="G638" s="2">
        <v>9081</v>
      </c>
      <c r="H638" s="2" t="str">
        <f>VLOOKUP(G638,Produtos!A:B,2,FALSE)</f>
        <v>MALZBIER BRAHMA LATA 350ML SH C/12 NPAL</v>
      </c>
      <c r="I638" s="3" t="s">
        <v>493</v>
      </c>
      <c r="J6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39" spans="1:10" x14ac:dyDescent="0.25">
      <c r="A639">
        <v>638</v>
      </c>
      <c r="B639" s="1">
        <v>45888.518344907403</v>
      </c>
      <c r="C639" s="1">
        <v>45888.518807870401</v>
      </c>
      <c r="D639" s="3" t="s">
        <v>20</v>
      </c>
      <c r="E639" s="3" t="s">
        <v>24</v>
      </c>
      <c r="F639" s="3"/>
      <c r="G639" s="2">
        <v>9320</v>
      </c>
      <c r="H639" s="2" t="str">
        <f>VLOOKUP(G639,Produtos!A:B,2,FALSE)</f>
        <v>BRAHMA CHOPP LT 473ML SH C/12 NPAL</v>
      </c>
      <c r="I639" s="3" t="s">
        <v>491</v>
      </c>
      <c r="J6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0" spans="1:10" x14ac:dyDescent="0.25">
      <c r="A640">
        <v>639</v>
      </c>
      <c r="B640" s="1">
        <v>45888.549421296302</v>
      </c>
      <c r="C640" s="1">
        <v>45888.549965277802</v>
      </c>
      <c r="D640" s="3" t="s">
        <v>20</v>
      </c>
      <c r="E640" s="3" t="s">
        <v>21</v>
      </c>
      <c r="F640" s="3"/>
      <c r="G640" s="2">
        <v>17797</v>
      </c>
      <c r="H640" s="2" t="str">
        <f>VLOOKUP(G640,Produtos!A:B,2,FALSE)</f>
        <v>BRAHMA CHOPP LATA 350ML SH 18 MULTIPACK</v>
      </c>
      <c r="I640" s="3" t="s">
        <v>491</v>
      </c>
      <c r="J6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1" spans="1:10" x14ac:dyDescent="0.25">
      <c r="A641">
        <v>640</v>
      </c>
      <c r="B641" s="1">
        <v>45888.552662037</v>
      </c>
      <c r="C641" s="1">
        <v>45888.553263888898</v>
      </c>
      <c r="D641" s="3" t="s">
        <v>20</v>
      </c>
      <c r="E641" s="3" t="s">
        <v>26</v>
      </c>
      <c r="F641" s="3"/>
      <c r="G641" s="2">
        <v>371</v>
      </c>
      <c r="H641" s="2" t="str">
        <f>VLOOKUP(G641,Produtos!A:B,2,FALSE)</f>
        <v>MALZBIER BRAHMA LN355ML SIX PAC BAND C/4</v>
      </c>
      <c r="I641" s="3" t="s">
        <v>503</v>
      </c>
      <c r="J6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2" spans="1:10" x14ac:dyDescent="0.25">
      <c r="A642">
        <v>641</v>
      </c>
      <c r="B642" s="1">
        <v>45888.555648148104</v>
      </c>
      <c r="C642" s="1">
        <v>45888.556331018503</v>
      </c>
      <c r="D642" s="3" t="s">
        <v>20</v>
      </c>
      <c r="E642" s="3" t="s">
        <v>24</v>
      </c>
      <c r="F642" s="3"/>
      <c r="G642" s="2">
        <v>12948</v>
      </c>
      <c r="H642" s="2" t="str">
        <f>VLOOKUP(G642,Produtos!A:B,2,FALSE)</f>
        <v>BRAHMA CHOPP ZERO LATA 350 SH CX C12 NPA</v>
      </c>
      <c r="I642" s="3" t="s">
        <v>491</v>
      </c>
      <c r="J6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3" spans="1:10" x14ac:dyDescent="0.25">
      <c r="A643">
        <v>642</v>
      </c>
      <c r="B643" s="1">
        <v>45888.559074074103</v>
      </c>
      <c r="C643" s="1">
        <v>45888.560011574104</v>
      </c>
      <c r="D643" s="3" t="s">
        <v>29</v>
      </c>
      <c r="E643" s="3" t="s">
        <v>15</v>
      </c>
      <c r="F643" s="3"/>
      <c r="G643" s="3" t="s">
        <v>41</v>
      </c>
      <c r="H643" s="3" t="e">
        <f>VLOOKUP(G643,Produtos!A:B,2,FALSE)</f>
        <v>#N/A</v>
      </c>
      <c r="I643" s="3" t="s">
        <v>500</v>
      </c>
      <c r="J6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4" spans="1:10" x14ac:dyDescent="0.25">
      <c r="A644">
        <v>643</v>
      </c>
      <c r="B644" s="1">
        <v>45888.613125000003</v>
      </c>
      <c r="C644" s="1">
        <v>45888.613692129598</v>
      </c>
      <c r="D644" s="3" t="s">
        <v>18</v>
      </c>
      <c r="E644" s="3" t="s">
        <v>24</v>
      </c>
      <c r="F644" s="3"/>
      <c r="G644" s="2">
        <v>21658</v>
      </c>
      <c r="H644" s="2" t="str">
        <f>VLOOKUP(G644,Produtos!A:B,2,FALSE)</f>
        <v>SPATEN N LT SLEEK 350ML CX CART C12</v>
      </c>
      <c r="I644" s="3" t="s">
        <v>493</v>
      </c>
      <c r="J6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5" spans="1:10" x14ac:dyDescent="0.25">
      <c r="A645">
        <v>644</v>
      </c>
      <c r="B645" s="1">
        <v>45888.613715277803</v>
      </c>
      <c r="C645" s="1">
        <v>45888.614525463003</v>
      </c>
      <c r="D645" s="3" t="s">
        <v>18</v>
      </c>
      <c r="E645" s="3" t="s">
        <v>24</v>
      </c>
      <c r="F645" s="3"/>
      <c r="G645" s="2">
        <v>12948</v>
      </c>
      <c r="H645" s="2" t="str">
        <f>VLOOKUP(G645,Produtos!A:B,2,FALSE)</f>
        <v>BRAHMA CHOPP ZERO LATA 350 SH CX C12 NPA</v>
      </c>
      <c r="I645" s="3" t="s">
        <v>493</v>
      </c>
      <c r="J6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6" spans="1:10" x14ac:dyDescent="0.25">
      <c r="A646">
        <v>645</v>
      </c>
      <c r="B646" s="1">
        <v>45889.272407407399</v>
      </c>
      <c r="C646" s="1">
        <v>45889.273333333302</v>
      </c>
      <c r="D646" s="3" t="s">
        <v>29</v>
      </c>
      <c r="E646" s="3" t="s">
        <v>21</v>
      </c>
      <c r="F646" s="3"/>
      <c r="G646" s="2">
        <v>9067</v>
      </c>
      <c r="H646" s="2" t="str">
        <f>VLOOKUP(G646,Produtos!A:B,2,FALSE)</f>
        <v>ANTARCTICA PILSEN LATA 350ML SH C/12 NPA</v>
      </c>
      <c r="I646" s="3" t="s">
        <v>500</v>
      </c>
      <c r="J6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7" spans="1:10" x14ac:dyDescent="0.25">
      <c r="A647">
        <v>646</v>
      </c>
      <c r="B647" s="1">
        <v>45889.280671296299</v>
      </c>
      <c r="C647" s="1">
        <v>45889.281481481499</v>
      </c>
      <c r="D647" s="3" t="s">
        <v>29</v>
      </c>
      <c r="E647" s="3" t="s">
        <v>21</v>
      </c>
      <c r="F647" s="3"/>
      <c r="G647" s="2">
        <v>21020</v>
      </c>
      <c r="H647" s="2" t="str">
        <f>VLOOKUP(G647,Produtos!A:B,2,FALSE)</f>
        <v>BUDWEISER LT SLEEK 350ML CX CART C12</v>
      </c>
      <c r="I647" s="3" t="s">
        <v>500</v>
      </c>
      <c r="J6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8" spans="1:10" x14ac:dyDescent="0.25">
      <c r="A648">
        <v>647</v>
      </c>
      <c r="B648" s="1">
        <v>45889.299398148098</v>
      </c>
      <c r="C648" s="1">
        <v>45889.301076388903</v>
      </c>
      <c r="D648" s="3" t="s">
        <v>29</v>
      </c>
      <c r="E648" s="3" t="s">
        <v>16</v>
      </c>
      <c r="F648" s="3"/>
      <c r="G648" s="2">
        <v>9968</v>
      </c>
      <c r="H648" s="2" t="e">
        <f>VLOOKUP(G648,Produtos!A:B,2,FALSE)</f>
        <v>#N/A</v>
      </c>
      <c r="I648" s="3" t="s">
        <v>500</v>
      </c>
      <c r="J6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49" spans="1:10" x14ac:dyDescent="0.25">
      <c r="A649">
        <v>648</v>
      </c>
      <c r="B649" s="1">
        <v>45889.308078703703</v>
      </c>
      <c r="C649" s="1">
        <v>45889.309201388904</v>
      </c>
      <c r="D649" s="3" t="s">
        <v>29</v>
      </c>
      <c r="E649" s="3" t="s">
        <v>16</v>
      </c>
      <c r="F649" s="3"/>
      <c r="G649" s="2">
        <v>21658</v>
      </c>
      <c r="H649" s="2" t="str">
        <f>VLOOKUP(G649,Produtos!A:B,2,FALSE)</f>
        <v>SPATEN N LT SLEEK 350ML CX CART C12</v>
      </c>
      <c r="I649" s="3" t="s">
        <v>500</v>
      </c>
      <c r="J6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0" spans="1:10" x14ac:dyDescent="0.25">
      <c r="A650">
        <v>649</v>
      </c>
      <c r="B650" s="1">
        <v>45889.356736111098</v>
      </c>
      <c r="C650" s="1">
        <v>45889.357291666704</v>
      </c>
      <c r="D650" s="3" t="s">
        <v>18</v>
      </c>
      <c r="E650" s="3" t="s">
        <v>24</v>
      </c>
      <c r="F650" s="3"/>
      <c r="G650" s="2">
        <v>9068</v>
      </c>
      <c r="H650" s="2" t="str">
        <f>VLOOKUP(G650,Produtos!A:B,2,FALSE)</f>
        <v>SKOL LATA 350ML SH C/12 NPAL</v>
      </c>
      <c r="I650" s="3" t="s">
        <v>493</v>
      </c>
      <c r="J6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1" spans="1:10" x14ac:dyDescent="0.25">
      <c r="A651">
        <v>650</v>
      </c>
      <c r="B651" s="1">
        <v>45889.357314814799</v>
      </c>
      <c r="C651" s="1">
        <v>45889.3578935185</v>
      </c>
      <c r="D651" s="3" t="s">
        <v>18</v>
      </c>
      <c r="E651" s="3" t="s">
        <v>24</v>
      </c>
      <c r="F651" s="3"/>
      <c r="G651" s="2">
        <v>22177</v>
      </c>
      <c r="H651" s="2" t="str">
        <f>VLOOKUP(G651,Produtos!A:B,2,FALSE)</f>
        <v>BUDWEISER ZERO LT SLEEK 350ML C8 CX CART</v>
      </c>
      <c r="I651" s="3" t="s">
        <v>493</v>
      </c>
      <c r="J6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2" spans="1:10" x14ac:dyDescent="0.25">
      <c r="A652">
        <v>651</v>
      </c>
      <c r="B652" s="1">
        <v>45889.358819444402</v>
      </c>
      <c r="C652" s="1">
        <v>45889.3592824074</v>
      </c>
      <c r="D652" s="3" t="s">
        <v>18</v>
      </c>
      <c r="E652" s="3" t="s">
        <v>24</v>
      </c>
      <c r="F652" s="3"/>
      <c r="G652" s="2">
        <v>9274</v>
      </c>
      <c r="H652" s="2" t="str">
        <f>VLOOKUP(G652,Produtos!A:B,2,FALSE)</f>
        <v>PEPSI ZERO LATA 350ML SH C/12 NPAL</v>
      </c>
      <c r="I652" s="3" t="s">
        <v>493</v>
      </c>
      <c r="J65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3" spans="1:10" x14ac:dyDescent="0.25">
      <c r="A653">
        <v>652</v>
      </c>
      <c r="B653" s="1">
        <v>45889.362337963001</v>
      </c>
      <c r="C653" s="1">
        <v>45889.362893518497</v>
      </c>
      <c r="D653" s="3" t="s">
        <v>18</v>
      </c>
      <c r="E653" s="3" t="s">
        <v>24</v>
      </c>
      <c r="F653" s="3"/>
      <c r="G653" s="2">
        <v>18490</v>
      </c>
      <c r="H653" s="2" t="str">
        <f>VLOOKUP(G653,Produtos!A:B,2,FALSE)</f>
        <v>PATAGONIA AMB LAG NAC LATA 473ML 6PACK</v>
      </c>
      <c r="I653" s="3" t="s">
        <v>493</v>
      </c>
      <c r="J65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4" spans="1:10" x14ac:dyDescent="0.25">
      <c r="A654">
        <v>653</v>
      </c>
      <c r="B654" s="1">
        <v>45889.362916666701</v>
      </c>
      <c r="C654" s="1">
        <v>45889.363391203697</v>
      </c>
      <c r="D654" s="3" t="s">
        <v>18</v>
      </c>
      <c r="E654" s="3" t="s">
        <v>34</v>
      </c>
      <c r="F654" s="3"/>
      <c r="G654" s="2">
        <v>9274</v>
      </c>
      <c r="H654" s="2" t="str">
        <f>VLOOKUP(G654,Produtos!A:B,2,FALSE)</f>
        <v>PEPSI ZERO LATA 350ML SH C/12 NPAL</v>
      </c>
      <c r="I654" s="3" t="s">
        <v>493</v>
      </c>
      <c r="J65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5" spans="1:10" x14ac:dyDescent="0.25">
      <c r="A655">
        <v>654</v>
      </c>
      <c r="B655" s="1">
        <v>45889.404259259303</v>
      </c>
      <c r="C655" s="1">
        <v>45889.405810185199</v>
      </c>
      <c r="D655" s="3" t="s">
        <v>29</v>
      </c>
      <c r="E655" s="3" t="s">
        <v>24</v>
      </c>
      <c r="F655" s="3"/>
      <c r="G655" s="2">
        <v>24306</v>
      </c>
      <c r="H655" s="2" t="str">
        <f>VLOOKUP(G655,Produtos!A:B,2,FALSE)</f>
        <v>RED BULL MELANCIA LT 250ML FOUR PACK NPA</v>
      </c>
      <c r="I655" s="3" t="s">
        <v>500</v>
      </c>
      <c r="J65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6" spans="1:10" x14ac:dyDescent="0.25">
      <c r="A656">
        <v>655</v>
      </c>
      <c r="B656" s="1">
        <v>45889.554074074098</v>
      </c>
      <c r="C656" s="1">
        <v>45889.554513888899</v>
      </c>
      <c r="D656" s="3" t="s">
        <v>20</v>
      </c>
      <c r="E656" s="3" t="s">
        <v>24</v>
      </c>
      <c r="F656" s="3"/>
      <c r="G656" s="2">
        <v>9069</v>
      </c>
      <c r="H656" s="2" t="str">
        <f>VLOOKUP(G656,Produtos!A:B,2,FALSE)</f>
        <v>BRAHMA CHOPP LATA 350ML SH C/12 NPAL</v>
      </c>
      <c r="I656" s="3" t="s">
        <v>491</v>
      </c>
      <c r="J65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7" spans="1:10" x14ac:dyDescent="0.25">
      <c r="A657">
        <v>656</v>
      </c>
      <c r="B657" s="1">
        <v>45890.273807870399</v>
      </c>
      <c r="C657" s="1">
        <v>45890.2746064815</v>
      </c>
      <c r="D657" s="3" t="s">
        <v>29</v>
      </c>
      <c r="E657" s="3" t="s">
        <v>21</v>
      </c>
      <c r="F657" s="3"/>
      <c r="G657" s="2">
        <v>9089</v>
      </c>
      <c r="H657" s="2" t="str">
        <f>VLOOKUP(G657,Produtos!A:B,2,FALSE)</f>
        <v>SUKITA LATA 350ML SH C/12 NPAL</v>
      </c>
      <c r="I657" s="3" t="s">
        <v>500</v>
      </c>
      <c r="J65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8" spans="1:10" x14ac:dyDescent="0.25">
      <c r="A658">
        <v>657</v>
      </c>
      <c r="B658" s="1">
        <v>45890.343518518501</v>
      </c>
      <c r="C658" s="1">
        <v>45890.344583333303</v>
      </c>
      <c r="D658" s="3" t="s">
        <v>29</v>
      </c>
      <c r="E658" s="3" t="s">
        <v>15</v>
      </c>
      <c r="F658" s="3"/>
      <c r="G658" s="3" t="s">
        <v>42</v>
      </c>
      <c r="H658" s="3" t="e">
        <f>VLOOKUP(G658,Produtos!A:B,2,FALSE)</f>
        <v>#N/A</v>
      </c>
      <c r="I658" s="3" t="s">
        <v>491</v>
      </c>
      <c r="J65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59" spans="1:10" x14ac:dyDescent="0.25">
      <c r="A659">
        <v>658</v>
      </c>
      <c r="B659" s="1">
        <v>45890.437696759298</v>
      </c>
      <c r="C659" s="1">
        <v>45890.438229166699</v>
      </c>
      <c r="D659" s="3" t="s">
        <v>18</v>
      </c>
      <c r="E659" s="3" t="s">
        <v>24</v>
      </c>
      <c r="F659" s="3"/>
      <c r="G659" s="2">
        <v>9089</v>
      </c>
      <c r="H659" s="2" t="str">
        <f>VLOOKUP(G659,Produtos!A:B,2,FALSE)</f>
        <v>SUKITA LATA 350ML SH C/12 NPAL</v>
      </c>
      <c r="I659" s="3" t="s">
        <v>493</v>
      </c>
      <c r="J65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0" spans="1:10" x14ac:dyDescent="0.25">
      <c r="A660">
        <v>659</v>
      </c>
      <c r="B660" s="1">
        <v>45890.438240740703</v>
      </c>
      <c r="C660" s="1">
        <v>45890.438842592601</v>
      </c>
      <c r="D660" s="3" t="s">
        <v>18</v>
      </c>
      <c r="E660" s="3" t="s">
        <v>24</v>
      </c>
      <c r="F660" s="3"/>
      <c r="G660" s="2">
        <v>1745</v>
      </c>
      <c r="H660" s="2" t="str">
        <f>VLOOKUP(G660,Produtos!A:B,2,FALSE)</f>
        <v>SKOL LT 269ML SH C/15 NPAL</v>
      </c>
      <c r="I660" s="3" t="s">
        <v>493</v>
      </c>
      <c r="J66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1" spans="1:10" x14ac:dyDescent="0.25">
      <c r="A661">
        <v>660</v>
      </c>
      <c r="B661" s="1">
        <v>45890.438865740703</v>
      </c>
      <c r="C661" s="1">
        <v>45890.439444444397</v>
      </c>
      <c r="D661" s="3" t="s">
        <v>18</v>
      </c>
      <c r="E661" s="3" t="s">
        <v>24</v>
      </c>
      <c r="F661" s="3"/>
      <c r="G661" s="2">
        <v>32473</v>
      </c>
      <c r="H661" s="2" t="str">
        <f>VLOOKUP(G661,Produtos!A:B,2,FALSE)</f>
        <v>STELLA ART PUR GOLD LT 473ML CX CART C12</v>
      </c>
      <c r="I661" s="3" t="s">
        <v>493</v>
      </c>
      <c r="J66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2" spans="1:10" x14ac:dyDescent="0.25">
      <c r="A662">
        <v>661</v>
      </c>
      <c r="B662" s="1">
        <v>45890.441979166702</v>
      </c>
      <c r="C662" s="1">
        <v>45890.443182870396</v>
      </c>
      <c r="D662" s="3" t="s">
        <v>20</v>
      </c>
      <c r="E662" s="3" t="s">
        <v>21</v>
      </c>
      <c r="F662" s="3"/>
      <c r="G662" s="2">
        <v>9085</v>
      </c>
      <c r="H662" s="2" t="str">
        <f>VLOOKUP(G662,Produtos!A:B,2,FALSE)</f>
        <v>GUARANA CHP ANTARCT DIET LT350ML SHC/12</v>
      </c>
      <c r="I662" s="3" t="s">
        <v>491</v>
      </c>
      <c r="J66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3" spans="1:10" x14ac:dyDescent="0.25">
      <c r="A663">
        <v>662</v>
      </c>
      <c r="B663" s="1">
        <v>45891.2974189815</v>
      </c>
      <c r="C663" s="1">
        <v>45891.297847222202</v>
      </c>
      <c r="D663" s="3" t="s">
        <v>20</v>
      </c>
      <c r="E663" s="3" t="s">
        <v>24</v>
      </c>
      <c r="F663" s="3"/>
      <c r="G663" s="2">
        <v>30045</v>
      </c>
      <c r="H663" s="2" t="str">
        <f>VLOOKUP(G663,Produtos!A:B,2,FALSE)</f>
        <v>RED BULL BR LATA 473ML CX C 12</v>
      </c>
      <c r="I663" s="3" t="s">
        <v>491</v>
      </c>
      <c r="J66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4" spans="1:10" x14ac:dyDescent="0.25">
      <c r="A664">
        <v>663</v>
      </c>
      <c r="B664" s="1">
        <v>45891.297916666699</v>
      </c>
      <c r="C664" s="1">
        <v>45891.298564814802</v>
      </c>
      <c r="D664" s="3" t="s">
        <v>20</v>
      </c>
      <c r="E664" s="3" t="s">
        <v>24</v>
      </c>
      <c r="F664" s="3"/>
      <c r="G664" s="2">
        <v>32473</v>
      </c>
      <c r="H664" s="2" t="str">
        <f>VLOOKUP(G664,Produtos!A:B,2,FALSE)</f>
        <v>STELLA ART PUR GOLD LT 473ML CX CART C12</v>
      </c>
      <c r="I664" s="3" t="s">
        <v>491</v>
      </c>
      <c r="J66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5" spans="1:10" x14ac:dyDescent="0.25">
      <c r="A665">
        <v>664</v>
      </c>
      <c r="B665" s="1">
        <v>45891.331631944398</v>
      </c>
      <c r="C665" s="1">
        <v>45891.332291666702</v>
      </c>
      <c r="D665" s="3" t="s">
        <v>20</v>
      </c>
      <c r="E665" s="3" t="s">
        <v>21</v>
      </c>
      <c r="F665" s="3"/>
      <c r="G665" s="2">
        <v>34608</v>
      </c>
      <c r="H665" s="2" t="str">
        <f>VLOOKUP(G665,Produtos!A:B,2,FALSE)</f>
        <v>SKOL LATA 350ML SH C/12 MULTIPAK</v>
      </c>
      <c r="I665" s="3" t="s">
        <v>491</v>
      </c>
      <c r="J66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6" spans="1:10" x14ac:dyDescent="0.25">
      <c r="A666">
        <v>665</v>
      </c>
      <c r="B666" s="1">
        <v>45891.332233796304</v>
      </c>
      <c r="C666" s="1">
        <v>45891.332893518498</v>
      </c>
      <c r="D666" s="3" t="s">
        <v>18</v>
      </c>
      <c r="E666" s="3" t="s">
        <v>21</v>
      </c>
      <c r="F666" s="3"/>
      <c r="G666" s="2">
        <v>34608</v>
      </c>
      <c r="H666" s="2" t="str">
        <f>VLOOKUP(G666,Produtos!A:B,2,FALSE)</f>
        <v>SKOL LATA 350ML SH C/12 MULTIPAK</v>
      </c>
      <c r="I666" s="3" t="s">
        <v>492</v>
      </c>
      <c r="J66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7" spans="1:10" x14ac:dyDescent="0.25">
      <c r="A667">
        <v>666</v>
      </c>
      <c r="B667" s="1">
        <v>45891.334780092599</v>
      </c>
      <c r="C667" s="1">
        <v>45891.335462962998</v>
      </c>
      <c r="D667" s="3" t="s">
        <v>20</v>
      </c>
      <c r="E667" s="3" t="s">
        <v>24</v>
      </c>
      <c r="F667" s="3"/>
      <c r="G667" s="2">
        <v>9068</v>
      </c>
      <c r="H667" s="2" t="str">
        <f>VLOOKUP(G667,Produtos!A:B,2,FALSE)</f>
        <v>SKOL LATA 350ML SH C/12 NPAL</v>
      </c>
      <c r="I667" s="3" t="s">
        <v>491</v>
      </c>
      <c r="J66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8" spans="1:10" x14ac:dyDescent="0.25">
      <c r="A668">
        <v>667</v>
      </c>
      <c r="B668" s="1">
        <v>45891.336666666699</v>
      </c>
      <c r="C668" s="1">
        <v>45891.337280092601</v>
      </c>
      <c r="D668" s="3" t="s">
        <v>18</v>
      </c>
      <c r="E668" s="3" t="s">
        <v>24</v>
      </c>
      <c r="F668" s="3"/>
      <c r="G668" s="2">
        <v>24306</v>
      </c>
      <c r="H668" s="2" t="str">
        <f>VLOOKUP(G668,Produtos!A:B,2,FALSE)</f>
        <v>RED BULL MELANCIA LT 250ML FOUR PACK NPA</v>
      </c>
      <c r="I668" s="3" t="s">
        <v>493</v>
      </c>
      <c r="J66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69" spans="1:10" x14ac:dyDescent="0.25">
      <c r="A669">
        <v>668</v>
      </c>
      <c r="B669" s="1">
        <v>45892.279120370396</v>
      </c>
      <c r="C669" s="1">
        <v>45892.2800347222</v>
      </c>
      <c r="D669" s="3" t="s">
        <v>20</v>
      </c>
      <c r="E669" s="3" t="s">
        <v>21</v>
      </c>
      <c r="F669" s="3"/>
      <c r="G669" s="2">
        <v>4409</v>
      </c>
      <c r="H669" s="2" t="str">
        <f>VLOOKUP(G669,Produtos!A:B,2,FALSE)</f>
        <v>PEPSI TWIST PET 2L SHRINK C/6</v>
      </c>
      <c r="I669" s="3" t="s">
        <v>496</v>
      </c>
      <c r="J66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0" spans="1:10" x14ac:dyDescent="0.25">
      <c r="A670">
        <v>669</v>
      </c>
      <c r="B670" s="1">
        <v>45892.279930555596</v>
      </c>
      <c r="C670" s="1">
        <v>45892.2804861111</v>
      </c>
      <c r="D670" s="3" t="s">
        <v>18</v>
      </c>
      <c r="E670" s="3" t="s">
        <v>21</v>
      </c>
      <c r="F670" s="3"/>
      <c r="G670" s="2">
        <v>17797</v>
      </c>
      <c r="H670" s="2" t="str">
        <f>VLOOKUP(G670,Produtos!A:B,2,FALSE)</f>
        <v>BRAHMA CHOPP LATA 350ML SH 18 MULTIPACK</v>
      </c>
      <c r="I670" s="3" t="s">
        <v>493</v>
      </c>
      <c r="J67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1" spans="1:10" x14ac:dyDescent="0.25">
      <c r="A671">
        <v>670</v>
      </c>
      <c r="B671" s="1">
        <v>45892.585648148102</v>
      </c>
      <c r="C671" s="1">
        <v>45892.586412037002</v>
      </c>
      <c r="D671" s="3" t="s">
        <v>8</v>
      </c>
      <c r="E671" s="3" t="s">
        <v>16</v>
      </c>
      <c r="F671" s="3"/>
      <c r="G671" s="3"/>
      <c r="H671" s="3" t="e">
        <f>VLOOKUP(G671,Produtos!A:B,2,FALSE)</f>
        <v>#N/A</v>
      </c>
      <c r="I671" s="3" t="s">
        <v>495</v>
      </c>
      <c r="J67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2" spans="1:10" x14ac:dyDescent="0.25">
      <c r="A672">
        <v>671</v>
      </c>
      <c r="B672" s="1">
        <v>45892.586851851796</v>
      </c>
      <c r="C672" s="1">
        <v>45892.587962963</v>
      </c>
      <c r="D672" s="3" t="s">
        <v>8</v>
      </c>
      <c r="E672" s="3" t="s">
        <v>21</v>
      </c>
      <c r="F672" s="3"/>
      <c r="G672" s="3"/>
      <c r="H672" s="3" t="e">
        <f>VLOOKUP(G672,Produtos!A:B,2,FALSE)</f>
        <v>#N/A</v>
      </c>
      <c r="I672" s="3" t="s">
        <v>506</v>
      </c>
      <c r="J67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3" spans="1:10" x14ac:dyDescent="0.25">
      <c r="A673">
        <v>672</v>
      </c>
      <c r="B673" s="1">
        <v>45894.270729166703</v>
      </c>
      <c r="C673" s="1">
        <v>45894.271782407399</v>
      </c>
      <c r="D673" s="3" t="s">
        <v>29</v>
      </c>
      <c r="E673" s="3" t="s">
        <v>15</v>
      </c>
      <c r="F673" s="3"/>
      <c r="G673" s="3" t="s">
        <v>43</v>
      </c>
      <c r="H673" s="3" t="e">
        <f>VLOOKUP(G673,Produtos!A:B,2,FALSE)</f>
        <v>#N/A</v>
      </c>
      <c r="I673" s="3" t="s">
        <v>500</v>
      </c>
      <c r="J67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4" spans="1:10" x14ac:dyDescent="0.25">
      <c r="A674">
        <v>673</v>
      </c>
      <c r="B674" s="1">
        <v>45894.424085648097</v>
      </c>
      <c r="C674" s="1">
        <v>45894.424861111103</v>
      </c>
      <c r="D674" s="3" t="s">
        <v>29</v>
      </c>
      <c r="E674" s="3" t="s">
        <v>24</v>
      </c>
      <c r="F674" s="3"/>
      <c r="G674" s="2">
        <v>9081</v>
      </c>
      <c r="H674" s="2" t="str">
        <f>VLOOKUP(G674,Produtos!A:B,2,FALSE)</f>
        <v>MALZBIER BRAHMA LATA 350ML SH C/12 NPAL</v>
      </c>
      <c r="I674" s="3" t="s">
        <v>491</v>
      </c>
      <c r="J67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5" spans="1:10" x14ac:dyDescent="0.25">
      <c r="A675">
        <v>674</v>
      </c>
      <c r="B675" s="1">
        <v>45894.425219907404</v>
      </c>
      <c r="C675" s="1">
        <v>45894.425856481503</v>
      </c>
      <c r="D675" s="3" t="s">
        <v>18</v>
      </c>
      <c r="E675" s="3" t="s">
        <v>24</v>
      </c>
      <c r="F675" s="3"/>
      <c r="G675" s="2">
        <v>14138</v>
      </c>
      <c r="H675" s="2" t="str">
        <f>VLOOKUP(G675,Produtos!A:B,2,FALSE)</f>
        <v>SKOL BEATS SENSES LT 473ML SP SH C/2 NPA</v>
      </c>
      <c r="I675" s="3" t="s">
        <v>493</v>
      </c>
      <c r="J67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6" spans="1:10" x14ac:dyDescent="0.25">
      <c r="A676">
        <v>675</v>
      </c>
      <c r="B676" s="1">
        <v>45894.425937499997</v>
      </c>
      <c r="C676" s="1">
        <v>45894.426493055602</v>
      </c>
      <c r="D676" s="3" t="s">
        <v>29</v>
      </c>
      <c r="E676" s="3" t="s">
        <v>24</v>
      </c>
      <c r="F676" s="3"/>
      <c r="G676" s="2">
        <v>21666</v>
      </c>
      <c r="H676" s="2" t="str">
        <f>VLOOKUP(G676,Produtos!A:B,2,FALSE)</f>
        <v>RED BULL TROP BR LT 250ML FOUR PACK NPAL</v>
      </c>
      <c r="I676" s="3" t="s">
        <v>500</v>
      </c>
      <c r="J67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7" spans="1:10" x14ac:dyDescent="0.25">
      <c r="A677">
        <v>676</v>
      </c>
      <c r="B677" s="1">
        <v>45894.425891203697</v>
      </c>
      <c r="C677" s="1">
        <v>45894.4266319444</v>
      </c>
      <c r="D677" s="3" t="s">
        <v>18</v>
      </c>
      <c r="E677" s="3" t="s">
        <v>24</v>
      </c>
      <c r="F677" s="3"/>
      <c r="G677" s="2">
        <v>12948</v>
      </c>
      <c r="H677" s="2" t="str">
        <f>VLOOKUP(G677,Produtos!A:B,2,FALSE)</f>
        <v>BRAHMA CHOPP ZERO LATA 350 SH CX C12 NPA</v>
      </c>
      <c r="I677" s="3" t="s">
        <v>493</v>
      </c>
      <c r="J67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8" spans="1:10" x14ac:dyDescent="0.25">
      <c r="A678">
        <v>677</v>
      </c>
      <c r="B678" s="1">
        <v>45894.426273148099</v>
      </c>
      <c r="C678" s="1">
        <v>45894.426712963003</v>
      </c>
      <c r="D678" s="3" t="s">
        <v>20</v>
      </c>
      <c r="E678" s="3" t="s">
        <v>24</v>
      </c>
      <c r="F678" s="3"/>
      <c r="G678" s="2">
        <v>9069</v>
      </c>
      <c r="H678" s="2" t="str">
        <f>VLOOKUP(G678,Produtos!A:B,2,FALSE)</f>
        <v>BRAHMA CHOPP LATA 350ML SH C/12 NPAL</v>
      </c>
      <c r="I678" s="3" t="s">
        <v>491</v>
      </c>
      <c r="J67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79" spans="1:10" x14ac:dyDescent="0.25">
      <c r="A679">
        <v>678</v>
      </c>
      <c r="B679" s="1">
        <v>45894.426643518498</v>
      </c>
      <c r="C679" s="1">
        <v>45894.4272569444</v>
      </c>
      <c r="D679" s="3" t="s">
        <v>18</v>
      </c>
      <c r="E679" s="3" t="s">
        <v>24</v>
      </c>
      <c r="F679" s="3"/>
      <c r="G679" s="2">
        <v>13566</v>
      </c>
      <c r="H679" s="2" t="str">
        <f>VLOOKUP(G679,Produtos!A:B,2,FALSE)</f>
        <v>SKOL BEATS SENSES LATA 269ML CX C/8 FRID</v>
      </c>
      <c r="I679" s="3" t="s">
        <v>493</v>
      </c>
      <c r="J67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0" spans="1:10" x14ac:dyDescent="0.25">
      <c r="A680">
        <v>679</v>
      </c>
      <c r="B680" s="1">
        <v>45894.428229166697</v>
      </c>
      <c r="C680" s="1">
        <v>45894.4289699074</v>
      </c>
      <c r="D680" s="3" t="s">
        <v>29</v>
      </c>
      <c r="E680" s="3" t="s">
        <v>24</v>
      </c>
      <c r="F680" s="3"/>
      <c r="G680" s="2">
        <v>19310</v>
      </c>
      <c r="H680" s="2" t="str">
        <f>VLOOKUP(G680,Produtos!A:B,2,FALSE)</f>
        <v>ORIGINAL LATA 350ML CX CARTAO C/12 NPAL</v>
      </c>
      <c r="I680" s="3" t="s">
        <v>500</v>
      </c>
      <c r="J68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1" spans="1:10" x14ac:dyDescent="0.25">
      <c r="A681">
        <v>680</v>
      </c>
      <c r="B681" s="1">
        <v>45894.431365740696</v>
      </c>
      <c r="C681" s="1">
        <v>45894.431898148097</v>
      </c>
      <c r="D681" s="3" t="s">
        <v>29</v>
      </c>
      <c r="E681" s="3" t="s">
        <v>34</v>
      </c>
      <c r="F681" s="3"/>
      <c r="G681" s="2">
        <v>9069</v>
      </c>
      <c r="H681" s="2" t="str">
        <f>VLOOKUP(G681,Produtos!A:B,2,FALSE)</f>
        <v>BRAHMA CHOPP LATA 350ML SH C/12 NPAL</v>
      </c>
      <c r="I681" s="3" t="s">
        <v>500</v>
      </c>
      <c r="J68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2" spans="1:10" x14ac:dyDescent="0.25">
      <c r="A682">
        <v>681</v>
      </c>
      <c r="B682" s="1">
        <v>45895.2797222222</v>
      </c>
      <c r="C682" s="1">
        <v>45895.280555555597</v>
      </c>
      <c r="D682" s="3" t="s">
        <v>29</v>
      </c>
      <c r="E682" s="3" t="s">
        <v>21</v>
      </c>
      <c r="F682" s="3"/>
      <c r="G682" s="2">
        <v>9071</v>
      </c>
      <c r="H682" s="2" t="str">
        <f>VLOOKUP(G682,Produtos!A:B,2,FALSE)</f>
        <v>CARACU LATA 350ML SH C/12 NPAL</v>
      </c>
      <c r="I682" s="3" t="s">
        <v>500</v>
      </c>
      <c r="J68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3" spans="1:10" x14ac:dyDescent="0.25">
      <c r="A683">
        <v>682</v>
      </c>
      <c r="B683" s="1">
        <v>45895.285937499997</v>
      </c>
      <c r="C683" s="1">
        <v>45895.286655092597</v>
      </c>
      <c r="D683" s="3" t="s">
        <v>29</v>
      </c>
      <c r="E683" s="3" t="s">
        <v>21</v>
      </c>
      <c r="F683" s="3"/>
      <c r="G683" s="3" t="s">
        <v>44</v>
      </c>
      <c r="H683" s="3" t="e">
        <f>VLOOKUP(G683,Produtos!A:B,2,FALSE)</f>
        <v>#N/A</v>
      </c>
      <c r="I683" s="3" t="s">
        <v>500</v>
      </c>
      <c r="J68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4" spans="1:10" x14ac:dyDescent="0.25">
      <c r="A684">
        <v>683</v>
      </c>
      <c r="B684" s="1">
        <v>45895.291840277801</v>
      </c>
      <c r="C684" s="1">
        <v>45895.292245370401</v>
      </c>
      <c r="D684" s="3" t="s">
        <v>20</v>
      </c>
      <c r="E684" s="3" t="s">
        <v>24</v>
      </c>
      <c r="F684" s="3"/>
      <c r="G684" s="2">
        <v>9091</v>
      </c>
      <c r="H684" s="2" t="str">
        <f>VLOOKUP(G684,Produtos!A:B,2,FALSE)</f>
        <v>TONICA ANTARCTICA LT 350ML SH C/12 NPAL</v>
      </c>
      <c r="I684" s="3" t="s">
        <v>491</v>
      </c>
      <c r="J68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5" spans="1:10" x14ac:dyDescent="0.25">
      <c r="A685">
        <v>684</v>
      </c>
      <c r="B685" s="1">
        <v>45895.2973726852</v>
      </c>
      <c r="C685" s="1">
        <v>45895.297708333303</v>
      </c>
      <c r="D685" s="3" t="s">
        <v>20</v>
      </c>
      <c r="E685" s="3" t="s">
        <v>24</v>
      </c>
      <c r="F685" s="3"/>
      <c r="G685" s="2">
        <v>9071</v>
      </c>
      <c r="H685" s="2" t="str">
        <f>VLOOKUP(G685,Produtos!A:B,2,FALSE)</f>
        <v>CARACU LATA 350ML SH C/12 NPAL</v>
      </c>
      <c r="I685" s="3" t="s">
        <v>491</v>
      </c>
      <c r="J68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6" spans="1:10" x14ac:dyDescent="0.25">
      <c r="A686">
        <v>685</v>
      </c>
      <c r="B686" s="1">
        <v>45895.301851851902</v>
      </c>
      <c r="C686" s="1">
        <v>45895.302499999998</v>
      </c>
      <c r="D686" s="3" t="s">
        <v>29</v>
      </c>
      <c r="E686" s="3" t="s">
        <v>16</v>
      </c>
      <c r="F686" s="3"/>
      <c r="G686" s="2">
        <v>9320</v>
      </c>
      <c r="H686" s="2" t="str">
        <f>VLOOKUP(G686,Produtos!A:B,2,FALSE)</f>
        <v>BRAHMA CHOPP LT 473ML SH C/12 NPAL</v>
      </c>
      <c r="I686" s="3" t="s">
        <v>500</v>
      </c>
      <c r="J68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7" spans="1:10" x14ac:dyDescent="0.25">
      <c r="A687">
        <v>686</v>
      </c>
      <c r="B687" s="1">
        <v>45895.318842592598</v>
      </c>
      <c r="C687" s="1">
        <v>45895.319490740701</v>
      </c>
      <c r="D687" s="3" t="s">
        <v>29</v>
      </c>
      <c r="E687" s="3" t="s">
        <v>15</v>
      </c>
      <c r="F687" s="3"/>
      <c r="G687" s="2">
        <v>19229</v>
      </c>
      <c r="H687" s="2" t="str">
        <f>VLOOKUP(G687,Produtos!A:B,2,FALSE)</f>
        <v>RED BULL BR LATA 250ML SIX PACK NPAL</v>
      </c>
      <c r="I687" s="3" t="s">
        <v>500</v>
      </c>
      <c r="J68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8" spans="1:10" x14ac:dyDescent="0.25">
      <c r="A688">
        <v>687</v>
      </c>
      <c r="B688" s="1">
        <v>45895.338379629597</v>
      </c>
      <c r="C688" s="1">
        <v>45895.338969907403</v>
      </c>
      <c r="D688" s="3" t="s">
        <v>18</v>
      </c>
      <c r="E688" s="3" t="s">
        <v>21</v>
      </c>
      <c r="F688" s="3"/>
      <c r="G688" s="2">
        <v>9081</v>
      </c>
      <c r="H688" s="2" t="str">
        <f>VLOOKUP(G688,Produtos!A:B,2,FALSE)</f>
        <v>MALZBIER BRAHMA LATA 350ML SH C/12 NPAL</v>
      </c>
      <c r="I688" s="3" t="s">
        <v>493</v>
      </c>
      <c r="J68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89" spans="1:10" x14ac:dyDescent="0.25">
      <c r="A689">
        <v>688</v>
      </c>
      <c r="B689" s="1">
        <v>45895.338981481502</v>
      </c>
      <c r="C689" s="1">
        <v>45895.340347222198</v>
      </c>
      <c r="D689" s="3" t="s">
        <v>18</v>
      </c>
      <c r="E689" s="3" t="s">
        <v>24</v>
      </c>
      <c r="F689" s="3"/>
      <c r="G689" s="2">
        <v>12948</v>
      </c>
      <c r="H689" s="2" t="str">
        <f>VLOOKUP(G689,Produtos!A:B,2,FALSE)</f>
        <v>BRAHMA CHOPP ZERO LATA 350 SH CX C12 NPA</v>
      </c>
      <c r="I689" s="3" t="s">
        <v>493</v>
      </c>
      <c r="J68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0" spans="1:10" x14ac:dyDescent="0.25">
      <c r="A690">
        <v>689</v>
      </c>
      <c r="B690" s="1">
        <v>45895.340763888897</v>
      </c>
      <c r="C690" s="1">
        <v>45895.341550925899</v>
      </c>
      <c r="D690" s="3" t="s">
        <v>18</v>
      </c>
      <c r="E690" s="3" t="s">
        <v>24</v>
      </c>
      <c r="F690" s="3"/>
      <c r="G690" s="2">
        <v>14135</v>
      </c>
      <c r="H690" s="2" t="str">
        <f>VLOOKUP(G690,Produtos!A:B,2,FALSE)</f>
        <v>BUDWEISER LT 473ML SIX-PACK SH C/2 NPAL</v>
      </c>
      <c r="I690" s="3" t="s">
        <v>493</v>
      </c>
      <c r="J69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1" spans="1:10" x14ac:dyDescent="0.25">
      <c r="A691">
        <v>690</v>
      </c>
      <c r="B691" s="1">
        <v>45895.3418171296</v>
      </c>
      <c r="C691" s="1">
        <v>45895.3425347222</v>
      </c>
      <c r="D691" s="3" t="s">
        <v>29</v>
      </c>
      <c r="E691" s="3" t="s">
        <v>26</v>
      </c>
      <c r="F691" s="3"/>
      <c r="G691" s="2">
        <v>9071</v>
      </c>
      <c r="H691" s="2" t="str">
        <f>VLOOKUP(G691,Produtos!A:B,2,FALSE)</f>
        <v>CARACU LATA 350ML SH C/12 NPAL</v>
      </c>
      <c r="I691" s="3" t="s">
        <v>491</v>
      </c>
      <c r="J69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2" spans="1:10" x14ac:dyDescent="0.25">
      <c r="A692">
        <v>691</v>
      </c>
      <c r="B692" s="1">
        <v>45895.342372685198</v>
      </c>
      <c r="C692" s="1">
        <v>45895.3428472222</v>
      </c>
      <c r="D692" s="3" t="s">
        <v>20</v>
      </c>
      <c r="E692" s="3" t="s">
        <v>21</v>
      </c>
      <c r="F692" s="3"/>
      <c r="G692" s="2">
        <v>17797</v>
      </c>
      <c r="H692" s="2" t="str">
        <f>VLOOKUP(G692,Produtos!A:B,2,FALSE)</f>
        <v>BRAHMA CHOPP LATA 350ML SH 18 MULTIPACK</v>
      </c>
      <c r="I692" s="3" t="s">
        <v>491</v>
      </c>
      <c r="J69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3" spans="1:10" x14ac:dyDescent="0.25">
      <c r="A693">
        <v>692</v>
      </c>
      <c r="B693" s="1">
        <v>45895.345254629603</v>
      </c>
      <c r="C693" s="1">
        <v>45895.345694444397</v>
      </c>
      <c r="D693" s="3" t="s">
        <v>20</v>
      </c>
      <c r="E693" s="3" t="s">
        <v>34</v>
      </c>
      <c r="F693" s="3"/>
      <c r="G693" s="2">
        <v>9068</v>
      </c>
      <c r="H693" s="2" t="str">
        <f>VLOOKUP(G693,Produtos!A:B,2,FALSE)</f>
        <v>SKOL LATA 350ML SH C/12 NPAL</v>
      </c>
      <c r="I693" s="3" t="s">
        <v>491</v>
      </c>
      <c r="J69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4" spans="1:10" x14ac:dyDescent="0.25">
      <c r="A694">
        <v>693</v>
      </c>
      <c r="B694" s="1">
        <v>45895.346944444398</v>
      </c>
      <c r="C694" s="1">
        <v>45895.347673611097</v>
      </c>
      <c r="D694" s="3" t="s">
        <v>20</v>
      </c>
      <c r="E694" s="3" t="s">
        <v>34</v>
      </c>
      <c r="F694" s="3"/>
      <c r="G694" s="2">
        <v>9069</v>
      </c>
      <c r="H694" s="2" t="str">
        <f>VLOOKUP(G694,Produtos!A:B,2,FALSE)</f>
        <v>BRAHMA CHOPP LATA 350ML SH C/12 NPAL</v>
      </c>
      <c r="I694" s="3" t="s">
        <v>491</v>
      </c>
      <c r="J69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5" spans="1:10" x14ac:dyDescent="0.25">
      <c r="A695">
        <v>694</v>
      </c>
      <c r="B695" s="1">
        <v>45895.409849536998</v>
      </c>
      <c r="C695" s="1">
        <v>45895.410289351901</v>
      </c>
      <c r="D695" s="3" t="s">
        <v>20</v>
      </c>
      <c r="E695" s="3" t="s">
        <v>24</v>
      </c>
      <c r="F695" s="3"/>
      <c r="G695" s="2">
        <v>9071</v>
      </c>
      <c r="H695" s="2" t="str">
        <f>VLOOKUP(G695,Produtos!A:B,2,FALSE)</f>
        <v>CARACU LATA 350ML SH C/12 NPAL</v>
      </c>
      <c r="I695" s="3" t="s">
        <v>491</v>
      </c>
      <c r="J69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6" spans="1:10" x14ac:dyDescent="0.25">
      <c r="A696">
        <v>695</v>
      </c>
      <c r="B696" s="1">
        <v>45895.428645833301</v>
      </c>
      <c r="C696" s="1">
        <v>45895.429224537002</v>
      </c>
      <c r="D696" s="3" t="s">
        <v>20</v>
      </c>
      <c r="E696" s="3" t="s">
        <v>24</v>
      </c>
      <c r="F696" s="3"/>
      <c r="G696" s="2">
        <v>19310</v>
      </c>
      <c r="H696" s="2" t="str">
        <f>VLOOKUP(G696,Produtos!A:B,2,FALSE)</f>
        <v>ORIGINAL LATA 350ML CX CARTAO C/12 NPAL</v>
      </c>
      <c r="I696" s="3" t="s">
        <v>496</v>
      </c>
      <c r="J69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7" spans="1:10" x14ac:dyDescent="0.25">
      <c r="A697">
        <v>696</v>
      </c>
      <c r="B697" s="1">
        <v>45895.430324074099</v>
      </c>
      <c r="C697" s="1">
        <v>45895.431342592601</v>
      </c>
      <c r="D697" s="3" t="s">
        <v>20</v>
      </c>
      <c r="E697" s="3" t="s">
        <v>24</v>
      </c>
      <c r="F697" s="3"/>
      <c r="G697" s="2">
        <v>503</v>
      </c>
      <c r="H697" s="2" t="str">
        <f>VLOOKUP(G697,Produtos!A:B,2,FALSE)</f>
        <v>SUKITA PET 2L CAIXA C/6</v>
      </c>
      <c r="I697" s="3" t="s">
        <v>496</v>
      </c>
      <c r="J69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8" spans="1:10" x14ac:dyDescent="0.25">
      <c r="A698">
        <v>697</v>
      </c>
      <c r="B698" s="1">
        <v>45895.434884259303</v>
      </c>
      <c r="C698" s="1">
        <v>45895.435486111099</v>
      </c>
      <c r="D698" s="3" t="s">
        <v>20</v>
      </c>
      <c r="E698" s="3" t="s">
        <v>24</v>
      </c>
      <c r="F698" s="3"/>
      <c r="G698" s="2">
        <v>9069</v>
      </c>
      <c r="H698" s="2" t="str">
        <f>VLOOKUP(G698,Produtos!A:B,2,FALSE)</f>
        <v>BRAHMA CHOPP LATA 350ML SH C/12 NPAL</v>
      </c>
      <c r="I698" s="3" t="s">
        <v>491</v>
      </c>
      <c r="J69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699" spans="1:10" x14ac:dyDescent="0.25">
      <c r="A699">
        <v>698</v>
      </c>
      <c r="B699" s="1">
        <v>45895.520034722198</v>
      </c>
      <c r="C699" s="1">
        <v>45895.520555555602</v>
      </c>
      <c r="D699" s="3" t="s">
        <v>20</v>
      </c>
      <c r="E699" s="3" t="s">
        <v>24</v>
      </c>
      <c r="F699" s="3"/>
      <c r="G699" s="2">
        <v>9071</v>
      </c>
      <c r="H699" s="2" t="str">
        <f>VLOOKUP(G699,Produtos!A:B,2,FALSE)</f>
        <v>CARACU LATA 350ML SH C/12 NPAL</v>
      </c>
      <c r="I699" s="3" t="s">
        <v>491</v>
      </c>
      <c r="J69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0" spans="1:10" x14ac:dyDescent="0.25">
      <c r="A700">
        <v>699</v>
      </c>
      <c r="B700" s="1">
        <v>45895.522013888898</v>
      </c>
      <c r="C700" s="1">
        <v>45895.522638888899</v>
      </c>
      <c r="D700" s="3" t="s">
        <v>20</v>
      </c>
      <c r="E700" s="3" t="s">
        <v>24</v>
      </c>
      <c r="F700" s="3"/>
      <c r="G700" s="2">
        <v>9071</v>
      </c>
      <c r="H700" s="2" t="str">
        <f>VLOOKUP(G700,Produtos!A:B,2,FALSE)</f>
        <v>CARACU LATA 350ML SH C/12 NPAL</v>
      </c>
      <c r="I700" s="3" t="s">
        <v>491</v>
      </c>
      <c r="J70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1" spans="1:10" x14ac:dyDescent="0.25">
      <c r="A701">
        <v>700</v>
      </c>
      <c r="B701" s="1">
        <v>45895.548831018503</v>
      </c>
      <c r="C701" s="1">
        <v>45895.549351851798</v>
      </c>
      <c r="D701" s="3" t="s">
        <v>20</v>
      </c>
      <c r="E701" s="3" t="s">
        <v>24</v>
      </c>
      <c r="F701" s="3"/>
      <c r="G701" s="2">
        <v>23263</v>
      </c>
      <c r="H701" s="2" t="e">
        <f>VLOOKUP(G701,Produtos!A:B,2,FALSE)</f>
        <v>#N/A</v>
      </c>
      <c r="I701" s="3" t="s">
        <v>496</v>
      </c>
      <c r="J70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2" spans="1:10" x14ac:dyDescent="0.25">
      <c r="A702">
        <v>701</v>
      </c>
      <c r="B702" s="1">
        <v>45895.554456018501</v>
      </c>
      <c r="C702" s="1">
        <v>45895.554976851803</v>
      </c>
      <c r="D702" s="3" t="s">
        <v>29</v>
      </c>
      <c r="E702" s="3" t="s">
        <v>15</v>
      </c>
      <c r="F702" s="3"/>
      <c r="G702" s="3" t="s">
        <v>45</v>
      </c>
      <c r="H702" s="3" t="e">
        <f>VLOOKUP(G702,Produtos!A:B,2,FALSE)</f>
        <v>#N/A</v>
      </c>
      <c r="I702" s="3" t="s">
        <v>500</v>
      </c>
      <c r="J70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3" spans="1:10" x14ac:dyDescent="0.25">
      <c r="A703">
        <v>702</v>
      </c>
      <c r="B703" s="1">
        <v>45895.555219907401</v>
      </c>
      <c r="C703" s="1">
        <v>45895.5559953704</v>
      </c>
      <c r="D703" s="3" t="s">
        <v>29</v>
      </c>
      <c r="E703" s="3" t="s">
        <v>15</v>
      </c>
      <c r="F703" s="3"/>
      <c r="G703" s="3" t="s">
        <v>46</v>
      </c>
      <c r="H703" s="3" t="e">
        <f>VLOOKUP(G703,Produtos!A:B,2,FALSE)</f>
        <v>#N/A</v>
      </c>
      <c r="I703" s="3" t="s">
        <v>500</v>
      </c>
      <c r="J70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4" spans="1:10" x14ac:dyDescent="0.25">
      <c r="A704">
        <v>703</v>
      </c>
      <c r="B704" s="1">
        <v>45895.556412037004</v>
      </c>
      <c r="C704" s="1">
        <v>45895.557083333297</v>
      </c>
      <c r="D704" s="3" t="s">
        <v>29</v>
      </c>
      <c r="E704" s="3" t="s">
        <v>15</v>
      </c>
      <c r="F704" s="3"/>
      <c r="G704" s="3" t="s">
        <v>47</v>
      </c>
      <c r="H704" s="3" t="e">
        <f>VLOOKUP(G704,Produtos!A:B,2,FALSE)</f>
        <v>#N/A</v>
      </c>
      <c r="I704" s="3" t="s">
        <v>500</v>
      </c>
      <c r="J70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5" spans="1:10" x14ac:dyDescent="0.25">
      <c r="A705">
        <v>704</v>
      </c>
      <c r="B705" s="1">
        <v>45895.557199074101</v>
      </c>
      <c r="C705" s="1">
        <v>45895.557685185202</v>
      </c>
      <c r="D705" s="3" t="s">
        <v>29</v>
      </c>
      <c r="E705" s="3" t="s">
        <v>15</v>
      </c>
      <c r="F705" s="3"/>
      <c r="G705" s="3" t="s">
        <v>48</v>
      </c>
      <c r="H705" s="3" t="e">
        <f>VLOOKUP(G705,Produtos!A:B,2,FALSE)</f>
        <v>#N/A</v>
      </c>
      <c r="I705" s="3" t="s">
        <v>500</v>
      </c>
      <c r="J70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6" spans="1:10" x14ac:dyDescent="0.25">
      <c r="A706">
        <v>705</v>
      </c>
      <c r="B706" s="1">
        <v>45895.5715740741</v>
      </c>
      <c r="C706" s="1">
        <v>45895.572303240697</v>
      </c>
      <c r="D706" s="3" t="s">
        <v>18</v>
      </c>
      <c r="E706" s="3" t="s">
        <v>24</v>
      </c>
      <c r="F706" s="3"/>
      <c r="G706" s="2">
        <v>9067</v>
      </c>
      <c r="H706" s="2" t="str">
        <f>VLOOKUP(G706,Produtos!A:B,2,FALSE)</f>
        <v>ANTARCTICA PILSEN LATA 350ML SH C/12 NPA</v>
      </c>
      <c r="I706" s="3" t="s">
        <v>493</v>
      </c>
      <c r="J70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7" spans="1:10" x14ac:dyDescent="0.25">
      <c r="A707">
        <v>706</v>
      </c>
      <c r="B707" s="1">
        <v>45895.572314814803</v>
      </c>
      <c r="C707" s="1">
        <v>45895.572847222204</v>
      </c>
      <c r="D707" s="3" t="s">
        <v>18</v>
      </c>
      <c r="E707" s="3" t="s">
        <v>24</v>
      </c>
      <c r="F707" s="3"/>
      <c r="G707" s="2">
        <v>9067</v>
      </c>
      <c r="H707" s="2" t="str">
        <f>VLOOKUP(G707,Produtos!A:B,2,FALSE)</f>
        <v>ANTARCTICA PILSEN LATA 350ML SH C/12 NPA</v>
      </c>
      <c r="I707" s="3" t="s">
        <v>493</v>
      </c>
      <c r="J70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8" spans="1:10" x14ac:dyDescent="0.25">
      <c r="A708">
        <v>707</v>
      </c>
      <c r="B708" s="1">
        <v>45895.623993055597</v>
      </c>
      <c r="C708" s="1">
        <v>45895.624814814801</v>
      </c>
      <c r="D708" s="3" t="s">
        <v>18</v>
      </c>
      <c r="E708" s="3" t="s">
        <v>26</v>
      </c>
      <c r="F708" s="3"/>
      <c r="G708" s="2">
        <v>20651</v>
      </c>
      <c r="H708" s="2" t="str">
        <f>VLOOKUP(G708,Produtos!A:B,2,FALSE)</f>
        <v>CORONA N LT SLEEK 350ML CX 8</v>
      </c>
      <c r="I708" s="3" t="s">
        <v>493</v>
      </c>
      <c r="J70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09" spans="1:10" x14ac:dyDescent="0.25">
      <c r="A709">
        <v>708</v>
      </c>
      <c r="B709" s="1">
        <v>45896.309872685197</v>
      </c>
      <c r="C709" s="1">
        <v>45896.310347222199</v>
      </c>
      <c r="D709" s="3" t="s">
        <v>18</v>
      </c>
      <c r="E709" s="3" t="s">
        <v>24</v>
      </c>
      <c r="F709" s="3"/>
      <c r="G709" s="2">
        <v>9081</v>
      </c>
      <c r="H709" s="2" t="str">
        <f>VLOOKUP(G709,Produtos!A:B,2,FALSE)</f>
        <v>MALZBIER BRAHMA LATA 350ML SH C/12 NPAL</v>
      </c>
      <c r="I709" s="3" t="s">
        <v>493</v>
      </c>
      <c r="J70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0" spans="1:10" x14ac:dyDescent="0.25">
      <c r="A710">
        <v>709</v>
      </c>
      <c r="B710" s="1">
        <v>45896.310370370396</v>
      </c>
      <c r="C710" s="1">
        <v>45896.3108333333</v>
      </c>
      <c r="D710" s="3" t="s">
        <v>18</v>
      </c>
      <c r="E710" s="3" t="s">
        <v>24</v>
      </c>
      <c r="F710" s="3"/>
      <c r="G710" s="2">
        <v>18765</v>
      </c>
      <c r="H710" s="2" t="str">
        <f>VLOOKUP(G710,Produtos!A:B,2,FALSE)</f>
        <v>PATAGONIA WEISSE NAC LATA 473ML 6 PACK</v>
      </c>
      <c r="I710" s="3" t="s">
        <v>493</v>
      </c>
      <c r="J71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1" spans="1:10" x14ac:dyDescent="0.25">
      <c r="A711">
        <v>710</v>
      </c>
      <c r="B711" s="1">
        <v>45896.310844907399</v>
      </c>
      <c r="C711" s="1">
        <v>45896.311365740701</v>
      </c>
      <c r="D711" s="3" t="s">
        <v>18</v>
      </c>
      <c r="E711" s="3" t="s">
        <v>24</v>
      </c>
      <c r="F711" s="3"/>
      <c r="G711" s="2">
        <v>14135</v>
      </c>
      <c r="H711" s="2" t="str">
        <f>VLOOKUP(G711,Produtos!A:B,2,FALSE)</f>
        <v>BUDWEISER LT 473ML SIX-PACK SH C/2 NPAL</v>
      </c>
      <c r="I711" s="3" t="s">
        <v>493</v>
      </c>
      <c r="J71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2" spans="1:10" x14ac:dyDescent="0.25">
      <c r="A712">
        <v>711</v>
      </c>
      <c r="B712" s="1">
        <v>45896.311388888898</v>
      </c>
      <c r="C712" s="1">
        <v>45896.311932870398</v>
      </c>
      <c r="D712" s="3" t="s">
        <v>18</v>
      </c>
      <c r="E712" s="3" t="s">
        <v>24</v>
      </c>
      <c r="F712" s="3"/>
      <c r="G712" s="2">
        <v>9081</v>
      </c>
      <c r="H712" s="2" t="str">
        <f>VLOOKUP(G712,Produtos!A:B,2,FALSE)</f>
        <v>MALZBIER BRAHMA LATA 350ML SH C/12 NPAL</v>
      </c>
      <c r="I712" s="3" t="s">
        <v>493</v>
      </c>
      <c r="J71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3" spans="1:10" x14ac:dyDescent="0.25">
      <c r="A713">
        <v>712</v>
      </c>
      <c r="B713" s="1">
        <v>45896.311967592599</v>
      </c>
      <c r="C713" s="1">
        <v>45896.3125462963</v>
      </c>
      <c r="D713" s="3" t="s">
        <v>18</v>
      </c>
      <c r="E713" s="3" t="s">
        <v>24</v>
      </c>
      <c r="F713" s="3"/>
      <c r="G713" s="2">
        <v>9089</v>
      </c>
      <c r="H713" s="2" t="str">
        <f>VLOOKUP(G713,Produtos!A:B,2,FALSE)</f>
        <v>SUKITA LATA 350ML SH C/12 NPAL</v>
      </c>
      <c r="I713" s="3" t="s">
        <v>493</v>
      </c>
      <c r="J71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4" spans="1:10" x14ac:dyDescent="0.25">
      <c r="A714">
        <v>713</v>
      </c>
      <c r="B714" s="1">
        <v>45896.315405092602</v>
      </c>
      <c r="C714" s="1">
        <v>45896.315995370402</v>
      </c>
      <c r="D714" s="3" t="s">
        <v>18</v>
      </c>
      <c r="E714" s="3" t="s">
        <v>26</v>
      </c>
      <c r="F714" s="3"/>
      <c r="G714" s="2">
        <v>9096</v>
      </c>
      <c r="H714" s="2" t="str">
        <f>VLOOKUP(G714,Produtos!A:B,2,FALSE)</f>
        <v>PEPSI COLA LATA 350ML SH C/12 NPAL</v>
      </c>
      <c r="I714" s="3" t="s">
        <v>493</v>
      </c>
      <c r="J71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5" spans="1:10" x14ac:dyDescent="0.25">
      <c r="A715">
        <v>714</v>
      </c>
      <c r="B715" s="1">
        <v>45896.3203587963</v>
      </c>
      <c r="C715" s="1">
        <v>45896.321099537003</v>
      </c>
      <c r="D715" s="3" t="s">
        <v>20</v>
      </c>
      <c r="E715" s="3" t="s">
        <v>26</v>
      </c>
      <c r="F715" s="3"/>
      <c r="G715" s="2">
        <v>9067</v>
      </c>
      <c r="H715" s="2" t="str">
        <f>VLOOKUP(G715,Produtos!A:B,2,FALSE)</f>
        <v>ANTARCTICA PILSEN LATA 350ML SH C/12 NPA</v>
      </c>
      <c r="I715" s="3" t="s">
        <v>491</v>
      </c>
      <c r="J71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6" spans="1:10" x14ac:dyDescent="0.25">
      <c r="A716">
        <v>715</v>
      </c>
      <c r="B716" s="1">
        <v>45896.321180555598</v>
      </c>
      <c r="C716" s="1">
        <v>45896.321747685201</v>
      </c>
      <c r="D716" s="3" t="s">
        <v>20</v>
      </c>
      <c r="E716" s="3" t="s">
        <v>21</v>
      </c>
      <c r="F716" s="3"/>
      <c r="G716" s="2">
        <v>9085</v>
      </c>
      <c r="H716" s="2" t="str">
        <f>VLOOKUP(G716,Produtos!A:B,2,FALSE)</f>
        <v>GUARANA CHP ANTARCT DIET LT350ML SHC/12</v>
      </c>
      <c r="I716" s="3" t="s">
        <v>491</v>
      </c>
      <c r="J71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7" spans="1:10" x14ac:dyDescent="0.25">
      <c r="A717">
        <v>716</v>
      </c>
      <c r="B717" s="1">
        <v>45896.323888888903</v>
      </c>
      <c r="C717" s="1">
        <v>45896.324490740699</v>
      </c>
      <c r="D717" s="3" t="s">
        <v>29</v>
      </c>
      <c r="E717" s="3" t="s">
        <v>24</v>
      </c>
      <c r="F717" s="3"/>
      <c r="G717" s="2">
        <v>19310</v>
      </c>
      <c r="H717" s="2" t="str">
        <f>VLOOKUP(G717,Produtos!A:B,2,FALSE)</f>
        <v>ORIGINAL LATA 350ML CX CARTAO C/12 NPAL</v>
      </c>
      <c r="I717" s="3" t="s">
        <v>500</v>
      </c>
      <c r="J71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8" spans="1:10" x14ac:dyDescent="0.25">
      <c r="A718">
        <v>717</v>
      </c>
      <c r="B718" s="1">
        <v>45896.323946759301</v>
      </c>
      <c r="C718" s="1">
        <v>45896.324768518498</v>
      </c>
      <c r="D718" s="3" t="s">
        <v>20</v>
      </c>
      <c r="E718" s="3" t="s">
        <v>24</v>
      </c>
      <c r="F718" s="3"/>
      <c r="G718" s="2">
        <v>9068</v>
      </c>
      <c r="H718" s="2" t="str">
        <f>VLOOKUP(G718,Produtos!A:B,2,FALSE)</f>
        <v>SKOL LATA 350ML SH C/12 NPAL</v>
      </c>
      <c r="I718" s="3" t="s">
        <v>491</v>
      </c>
      <c r="J71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19" spans="1:10" x14ac:dyDescent="0.25">
      <c r="A719">
        <v>718</v>
      </c>
      <c r="B719" s="1">
        <v>45896.451874999999</v>
      </c>
      <c r="C719" s="1">
        <v>45896.4523611111</v>
      </c>
      <c r="D719" s="3" t="s">
        <v>18</v>
      </c>
      <c r="E719" s="3" t="s">
        <v>26</v>
      </c>
      <c r="F719" s="3"/>
      <c r="G719" s="2">
        <v>18807</v>
      </c>
      <c r="H719" s="2" t="str">
        <f>VLOOKUP(G719,Produtos!A:B,2,FALSE)</f>
        <v>STELLA ARTOIS LN 330ML 6PACK SHR C 4</v>
      </c>
      <c r="I719" s="3" t="s">
        <v>493</v>
      </c>
      <c r="J71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0" spans="1:10" x14ac:dyDescent="0.25">
      <c r="A720">
        <v>719</v>
      </c>
      <c r="B720" s="1">
        <v>45896.459212962996</v>
      </c>
      <c r="C720" s="1">
        <v>45896.459803240701</v>
      </c>
      <c r="D720" s="3" t="s">
        <v>18</v>
      </c>
      <c r="E720" s="3" t="s">
        <v>24</v>
      </c>
      <c r="F720" s="3"/>
      <c r="G720" s="2">
        <v>9092</v>
      </c>
      <c r="H720" s="2" t="str">
        <f>VLOOKUP(G720,Produtos!A:B,2,FALSE)</f>
        <v>TONICA ANTARCTICA DIET LT350MLSHC/12 PAL</v>
      </c>
      <c r="I720" s="3" t="s">
        <v>493</v>
      </c>
      <c r="J72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1" spans="1:10" x14ac:dyDescent="0.25">
      <c r="A721">
        <v>720</v>
      </c>
      <c r="B721" s="1">
        <v>45896.461782407401</v>
      </c>
      <c r="C721" s="1">
        <v>45896.462291666699</v>
      </c>
      <c r="D721" s="3" t="s">
        <v>18</v>
      </c>
      <c r="E721" s="3" t="s">
        <v>24</v>
      </c>
      <c r="F721" s="3"/>
      <c r="G721" s="2">
        <v>14135</v>
      </c>
      <c r="H721" s="2" t="str">
        <f>VLOOKUP(G721,Produtos!A:B,2,FALSE)</f>
        <v>BUDWEISER LT 473ML SIX-PACK SH C/2 NPAL</v>
      </c>
      <c r="I721" s="3" t="s">
        <v>493</v>
      </c>
      <c r="J72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2" spans="1:10" x14ac:dyDescent="0.25">
      <c r="A722">
        <v>721</v>
      </c>
      <c r="B722" s="1">
        <v>45896.550520833298</v>
      </c>
      <c r="C722" s="1">
        <v>45896.550937499997</v>
      </c>
      <c r="D722" s="3" t="s">
        <v>20</v>
      </c>
      <c r="E722" s="3" t="s">
        <v>24</v>
      </c>
      <c r="F722" s="3"/>
      <c r="G722" s="2">
        <v>9320</v>
      </c>
      <c r="H722" s="2" t="str">
        <f>VLOOKUP(G722,Produtos!A:B,2,FALSE)</f>
        <v>BRAHMA CHOPP LT 473ML SH C/12 NPAL</v>
      </c>
      <c r="I722" s="3" t="s">
        <v>491</v>
      </c>
      <c r="J72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3" spans="1:10" x14ac:dyDescent="0.25">
      <c r="A723">
        <v>722</v>
      </c>
      <c r="B723" s="1">
        <v>45896.551770833299</v>
      </c>
      <c r="C723" s="1">
        <v>45896.552222222199</v>
      </c>
      <c r="D723" s="3" t="s">
        <v>20</v>
      </c>
      <c r="E723" s="3" t="s">
        <v>24</v>
      </c>
      <c r="F723" s="3"/>
      <c r="G723" s="2">
        <v>34608</v>
      </c>
      <c r="H723" s="2" t="str">
        <f>VLOOKUP(G723,Produtos!A:B,2,FALSE)</f>
        <v>SKOL LATA 350ML SH C/12 MULTIPAK</v>
      </c>
      <c r="I723" s="3" t="s">
        <v>491</v>
      </c>
      <c r="J72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4" spans="1:10" x14ac:dyDescent="0.25">
      <c r="A724">
        <v>723</v>
      </c>
      <c r="B724" s="1">
        <v>45896.5550925926</v>
      </c>
      <c r="C724" s="1">
        <v>45896.555625000001</v>
      </c>
      <c r="D724" s="3" t="s">
        <v>20</v>
      </c>
      <c r="E724" s="3" t="s">
        <v>26</v>
      </c>
      <c r="F724" s="3"/>
      <c r="G724" s="2">
        <v>19310</v>
      </c>
      <c r="H724" s="2" t="str">
        <f>VLOOKUP(G724,Produtos!A:B,2,FALSE)</f>
        <v>ORIGINAL LATA 350ML CX CARTAO C/12 NPAL</v>
      </c>
      <c r="I724" s="3" t="s">
        <v>491</v>
      </c>
      <c r="J72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5" spans="1:10" x14ac:dyDescent="0.25">
      <c r="A725">
        <v>724</v>
      </c>
      <c r="B725" s="1">
        <v>45896.556631944397</v>
      </c>
      <c r="C725" s="1">
        <v>45896.557731481502</v>
      </c>
      <c r="D725" s="3" t="s">
        <v>20</v>
      </c>
      <c r="E725" s="3" t="s">
        <v>26</v>
      </c>
      <c r="F725" s="3"/>
      <c r="G725" s="2">
        <v>9069</v>
      </c>
      <c r="H725" s="2" t="str">
        <f>VLOOKUP(G725,Produtos!A:B,2,FALSE)</f>
        <v>BRAHMA CHOPP LATA 350ML SH C/12 NPAL</v>
      </c>
      <c r="I725" s="3" t="s">
        <v>491</v>
      </c>
      <c r="J72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6" spans="1:10" x14ac:dyDescent="0.25">
      <c r="A726">
        <v>725</v>
      </c>
      <c r="B726" s="1">
        <v>45896.579837963</v>
      </c>
      <c r="C726" s="1">
        <v>45896.580381944397</v>
      </c>
      <c r="D726" s="3" t="s">
        <v>18</v>
      </c>
      <c r="E726" s="3" t="s">
        <v>21</v>
      </c>
      <c r="F726" s="3"/>
      <c r="G726" s="2">
        <v>9085</v>
      </c>
      <c r="H726" s="2" t="str">
        <f>VLOOKUP(G726,Produtos!A:B,2,FALSE)</f>
        <v>GUARANA CHP ANTARCT DIET LT350ML SHC/12</v>
      </c>
      <c r="I726" s="3" t="s">
        <v>493</v>
      </c>
      <c r="J72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7" spans="1:10" x14ac:dyDescent="0.25">
      <c r="A727">
        <v>726</v>
      </c>
      <c r="B727" s="1">
        <v>45896.581909722197</v>
      </c>
      <c r="C727" s="1">
        <v>45896.583969907399</v>
      </c>
      <c r="D727" s="3" t="s">
        <v>18</v>
      </c>
      <c r="E727" s="3" t="s">
        <v>24</v>
      </c>
      <c r="F727" s="3"/>
      <c r="G727" s="2">
        <v>9068</v>
      </c>
      <c r="H727" s="2" t="str">
        <f>VLOOKUP(G727,Produtos!A:B,2,FALSE)</f>
        <v>SKOL LATA 350ML SH C/12 NPAL</v>
      </c>
      <c r="I727" s="3" t="s">
        <v>493</v>
      </c>
      <c r="J72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8" spans="1:10" x14ac:dyDescent="0.25">
      <c r="A728">
        <v>727</v>
      </c>
      <c r="B728" s="1">
        <v>45897.4352083333</v>
      </c>
      <c r="C728" s="1">
        <v>45897.435624999998</v>
      </c>
      <c r="D728" s="3" t="s">
        <v>20</v>
      </c>
      <c r="E728" s="3" t="s">
        <v>24</v>
      </c>
      <c r="F728" s="3"/>
      <c r="G728" s="2">
        <v>17797</v>
      </c>
      <c r="H728" s="2" t="str">
        <f>VLOOKUP(G728,Produtos!A:B,2,FALSE)</f>
        <v>BRAHMA CHOPP LATA 350ML SH 18 MULTIPACK</v>
      </c>
      <c r="I728" s="3" t="s">
        <v>491</v>
      </c>
      <c r="J72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29" spans="1:10" x14ac:dyDescent="0.25">
      <c r="A729">
        <v>728</v>
      </c>
      <c r="B729" s="1">
        <v>45897.436805555597</v>
      </c>
      <c r="C729" s="1">
        <v>45897.437222222201</v>
      </c>
      <c r="D729" s="3" t="s">
        <v>20</v>
      </c>
      <c r="E729" s="3" t="s">
        <v>24</v>
      </c>
      <c r="F729" s="3"/>
      <c r="G729" s="2">
        <v>2349</v>
      </c>
      <c r="H729" s="2" t="str">
        <f>VLOOKUP(G729,Produtos!A:B,2,FALSE)</f>
        <v>GUARANA CHP ANTARCTICA PET 2L CAIXA C/6</v>
      </c>
      <c r="I729" s="3" t="s">
        <v>491</v>
      </c>
      <c r="J72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0" spans="1:10" x14ac:dyDescent="0.25">
      <c r="A730">
        <v>729</v>
      </c>
      <c r="B730" s="1">
        <v>45897.4597685185</v>
      </c>
      <c r="C730" s="1">
        <v>45897.460462962998</v>
      </c>
      <c r="D730" s="3" t="s">
        <v>20</v>
      </c>
      <c r="E730" s="3" t="s">
        <v>26</v>
      </c>
      <c r="F730" s="3"/>
      <c r="G730" s="2">
        <v>8923</v>
      </c>
      <c r="H730" s="2" t="str">
        <f>VLOOKUP(G730,Produtos!A:B,2,FALSE)</f>
        <v>PEPSI COLA PET 600ML CX C/12 NPAL</v>
      </c>
      <c r="I730" s="3" t="s">
        <v>491</v>
      </c>
      <c r="J73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1" spans="1:10" x14ac:dyDescent="0.25">
      <c r="A731">
        <v>730</v>
      </c>
      <c r="B731" s="1">
        <v>45897.567962963003</v>
      </c>
      <c r="C731" s="1">
        <v>45897.568819444401</v>
      </c>
      <c r="D731" s="3" t="s">
        <v>29</v>
      </c>
      <c r="E731" s="3" t="s">
        <v>16</v>
      </c>
      <c r="F731" s="3"/>
      <c r="G731" s="3" t="s">
        <v>49</v>
      </c>
      <c r="H731" s="3" t="e">
        <f>VLOOKUP(G731,Produtos!A:B,2,FALSE)</f>
        <v>#N/A</v>
      </c>
      <c r="I731" s="3" t="s">
        <v>500</v>
      </c>
      <c r="J73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2" spans="1:10" x14ac:dyDescent="0.25">
      <c r="A732">
        <v>731</v>
      </c>
      <c r="B732" s="1">
        <v>45897.568969907399</v>
      </c>
      <c r="C732" s="1">
        <v>45897.569664351897</v>
      </c>
      <c r="D732" s="3" t="s">
        <v>29</v>
      </c>
      <c r="E732" s="3" t="s">
        <v>16</v>
      </c>
      <c r="F732" s="3"/>
      <c r="G732" s="3" t="s">
        <v>50</v>
      </c>
      <c r="H732" s="3" t="e">
        <f>VLOOKUP(G732,Produtos!A:B,2,FALSE)</f>
        <v>#N/A</v>
      </c>
      <c r="I732" s="3" t="s">
        <v>500</v>
      </c>
      <c r="J73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3" spans="1:10" x14ac:dyDescent="0.25">
      <c r="A733">
        <v>732</v>
      </c>
      <c r="B733" s="1">
        <v>45898.344363425902</v>
      </c>
      <c r="C733" s="1">
        <v>45898.344837962999</v>
      </c>
      <c r="D733" s="3" t="s">
        <v>20</v>
      </c>
      <c r="E733" s="3" t="s">
        <v>34</v>
      </c>
      <c r="F733" s="3"/>
      <c r="G733" s="2">
        <v>21020</v>
      </c>
      <c r="H733" s="2" t="str">
        <f>VLOOKUP(G733,Produtos!A:B,2,FALSE)</f>
        <v>BUDWEISER LT SLEEK 350ML CX CART C12</v>
      </c>
      <c r="I733" s="3" t="s">
        <v>491</v>
      </c>
      <c r="J73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4" spans="1:10" x14ac:dyDescent="0.25">
      <c r="A734">
        <v>733</v>
      </c>
      <c r="B734" s="1">
        <v>45898.345810185201</v>
      </c>
      <c r="C734" s="1">
        <v>45898.346388888902</v>
      </c>
      <c r="D734" s="3" t="s">
        <v>20</v>
      </c>
      <c r="E734" s="3" t="s">
        <v>21</v>
      </c>
      <c r="F734" s="3"/>
      <c r="G734" s="2">
        <v>17797</v>
      </c>
      <c r="H734" s="2" t="str">
        <f>VLOOKUP(G734,Produtos!A:B,2,FALSE)</f>
        <v>BRAHMA CHOPP LATA 350ML SH 18 MULTIPACK</v>
      </c>
      <c r="I734" s="3" t="s">
        <v>491</v>
      </c>
      <c r="J73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5" spans="1:10" x14ac:dyDescent="0.25">
      <c r="A735">
        <v>734</v>
      </c>
      <c r="B735" s="1">
        <v>45898.349606481497</v>
      </c>
      <c r="C735" s="1">
        <v>45898.350115740701</v>
      </c>
      <c r="D735" s="3" t="s">
        <v>20</v>
      </c>
      <c r="E735" s="3" t="s">
        <v>24</v>
      </c>
      <c r="F735" s="3"/>
      <c r="G735" s="2">
        <v>9067</v>
      </c>
      <c r="H735" s="2" t="str">
        <f>VLOOKUP(G735,Produtos!A:B,2,FALSE)</f>
        <v>ANTARCTICA PILSEN LATA 350ML SH C/12 NPA</v>
      </c>
      <c r="I735" s="3" t="s">
        <v>491</v>
      </c>
      <c r="J73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6" spans="1:10" x14ac:dyDescent="0.25">
      <c r="A736">
        <v>735</v>
      </c>
      <c r="B736" s="1">
        <v>45898.350162037001</v>
      </c>
      <c r="C736" s="1">
        <v>45898.3511574074</v>
      </c>
      <c r="D736" s="3" t="s">
        <v>20</v>
      </c>
      <c r="E736" s="3" t="s">
        <v>24</v>
      </c>
      <c r="F736" s="3"/>
      <c r="G736" s="2">
        <v>9083</v>
      </c>
      <c r="H736" s="2" t="str">
        <f>VLOOKUP(G736,Produtos!A:B,2,FALSE)</f>
        <v>SKOL LT 473ML SH C/12 NPAL</v>
      </c>
      <c r="I736" s="3" t="s">
        <v>491</v>
      </c>
      <c r="J73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7" spans="1:10" x14ac:dyDescent="0.25">
      <c r="A737">
        <v>736</v>
      </c>
      <c r="B737" s="1">
        <v>45898.389803240701</v>
      </c>
      <c r="C737" s="1">
        <v>45898.390277777798</v>
      </c>
      <c r="D737" s="3" t="s">
        <v>18</v>
      </c>
      <c r="E737" s="3" t="s">
        <v>24</v>
      </c>
      <c r="F737" s="3"/>
      <c r="G737" s="2">
        <v>9096</v>
      </c>
      <c r="H737" s="2" t="str">
        <f>VLOOKUP(G737,Produtos!A:B,2,FALSE)</f>
        <v>PEPSI COLA LATA 350ML SH C/12 NPAL</v>
      </c>
      <c r="I737" s="3" t="s">
        <v>493</v>
      </c>
      <c r="J73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8" spans="1:10" x14ac:dyDescent="0.25">
      <c r="A738">
        <v>737</v>
      </c>
      <c r="B738" s="1">
        <v>45898.390543981499</v>
      </c>
      <c r="C738" s="1">
        <v>45898.391307870399</v>
      </c>
      <c r="D738" s="3" t="s">
        <v>18</v>
      </c>
      <c r="E738" s="3" t="s">
        <v>24</v>
      </c>
      <c r="F738" s="3"/>
      <c r="G738" s="2">
        <v>9071</v>
      </c>
      <c r="H738" s="2" t="str">
        <f>VLOOKUP(G738,Produtos!A:B,2,FALSE)</f>
        <v>CARACU LATA 350ML SH C/12 NPAL</v>
      </c>
      <c r="I738" s="3" t="s">
        <v>493</v>
      </c>
      <c r="J73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39" spans="1:10" x14ac:dyDescent="0.25">
      <c r="A739">
        <v>738</v>
      </c>
      <c r="B739" s="1">
        <v>45898.391331018502</v>
      </c>
      <c r="C739" s="1">
        <v>45898.391909722202</v>
      </c>
      <c r="D739" s="3" t="s">
        <v>18</v>
      </c>
      <c r="E739" s="3" t="s">
        <v>24</v>
      </c>
      <c r="F739" s="3"/>
      <c r="G739" s="2">
        <v>33734</v>
      </c>
      <c r="H739" s="2" t="str">
        <f>VLOOKUP(G739,Produtos!A:B,2,FALSE)</f>
        <v>BEATS RED MIX LT 269ML SH C/8</v>
      </c>
      <c r="I739" s="3"/>
      <c r="J73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0" spans="1:10" x14ac:dyDescent="0.25">
      <c r="A740">
        <v>739</v>
      </c>
      <c r="B740" s="1">
        <v>45898.4148263889</v>
      </c>
      <c r="C740" s="1">
        <v>45898.415474537003</v>
      </c>
      <c r="D740" s="3" t="s">
        <v>8</v>
      </c>
      <c r="E740" s="3" t="s">
        <v>16</v>
      </c>
      <c r="F740" s="3"/>
      <c r="G740" s="3"/>
      <c r="H740" s="3" t="e">
        <f>VLOOKUP(G740,Produtos!A:B,2,FALSE)</f>
        <v>#N/A</v>
      </c>
      <c r="I740" s="3" t="s">
        <v>495</v>
      </c>
      <c r="J74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1" spans="1:10" x14ac:dyDescent="0.25">
      <c r="A741">
        <v>740</v>
      </c>
      <c r="B741" s="1">
        <v>45898.415162037003</v>
      </c>
      <c r="C741" s="1">
        <v>45898.415775463</v>
      </c>
      <c r="D741" s="3" t="s">
        <v>18</v>
      </c>
      <c r="E741" s="3" t="s">
        <v>24</v>
      </c>
      <c r="F741" s="3"/>
      <c r="G741" s="2">
        <v>9320</v>
      </c>
      <c r="H741" s="2" t="str">
        <f>VLOOKUP(G741,Produtos!A:B,2,FALSE)</f>
        <v>BRAHMA CHOPP LT 473ML SH C/12 NPAL</v>
      </c>
      <c r="I741" s="3" t="s">
        <v>493</v>
      </c>
      <c r="J74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2" spans="1:10" x14ac:dyDescent="0.25">
      <c r="A742">
        <v>741</v>
      </c>
      <c r="B742" s="1">
        <v>45898.415752314802</v>
      </c>
      <c r="C742" s="1">
        <v>45898.416585648098</v>
      </c>
      <c r="D742" s="3" t="s">
        <v>20</v>
      </c>
      <c r="E742" s="3" t="s">
        <v>24</v>
      </c>
      <c r="F742" s="3"/>
      <c r="G742" s="2">
        <v>19225</v>
      </c>
      <c r="H742" s="2" t="str">
        <f>VLOOKUP(G742,Produtos!A:B,2,FALSE)</f>
        <v>RED BULL BR LATA 250ML CAIXA C/24</v>
      </c>
      <c r="I742" s="3" t="s">
        <v>491</v>
      </c>
      <c r="J742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3" spans="1:10" x14ac:dyDescent="0.25">
      <c r="A743">
        <v>742</v>
      </c>
      <c r="B743" s="1">
        <v>45899.540150462999</v>
      </c>
      <c r="C743" s="1">
        <v>45899.541030092601</v>
      </c>
      <c r="D743" s="3" t="s">
        <v>20</v>
      </c>
      <c r="E743" s="3" t="s">
        <v>24</v>
      </c>
      <c r="F743" s="3"/>
      <c r="G743" s="2">
        <v>9068</v>
      </c>
      <c r="H743" s="2" t="str">
        <f>VLOOKUP(G743,Produtos!A:B,2,FALSE)</f>
        <v>SKOL LATA 350ML SH C/12 NPAL</v>
      </c>
      <c r="I743" s="3" t="s">
        <v>491</v>
      </c>
      <c r="J743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4" spans="1:10" x14ac:dyDescent="0.25">
      <c r="A744">
        <v>743</v>
      </c>
      <c r="B744" s="1">
        <v>45899.541631944398</v>
      </c>
      <c r="C744" s="1">
        <v>45899.542175925897</v>
      </c>
      <c r="D744" s="3" t="s">
        <v>20</v>
      </c>
      <c r="E744" s="3" t="s">
        <v>24</v>
      </c>
      <c r="F744" s="3"/>
      <c r="G744" s="2">
        <v>21666</v>
      </c>
      <c r="H744" s="2" t="str">
        <f>VLOOKUP(G744,Produtos!A:B,2,FALSE)</f>
        <v>RED BULL TROP BR LT 250ML FOUR PACK NPAL</v>
      </c>
      <c r="I744" s="3" t="s">
        <v>491</v>
      </c>
      <c r="J744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5" spans="1:10" x14ac:dyDescent="0.25">
      <c r="A745">
        <v>744</v>
      </c>
      <c r="B745" s="1">
        <v>45899.543634259302</v>
      </c>
      <c r="C745" s="1">
        <v>45899.544050925899</v>
      </c>
      <c r="D745" s="3" t="s">
        <v>20</v>
      </c>
      <c r="E745" s="3" t="s">
        <v>24</v>
      </c>
      <c r="F745" s="3"/>
      <c r="G745" s="2">
        <v>22177</v>
      </c>
      <c r="H745" s="2" t="str">
        <f>VLOOKUP(G745,Produtos!A:B,2,FALSE)</f>
        <v>BUDWEISER ZERO LT SLEEK 350ML C8 CX CART</v>
      </c>
      <c r="I745" s="3" t="s">
        <v>491</v>
      </c>
      <c r="J745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6" spans="1:10" x14ac:dyDescent="0.25">
      <c r="A746">
        <v>745</v>
      </c>
      <c r="B746" s="1">
        <v>45899.545775462997</v>
      </c>
      <c r="C746" s="1">
        <v>45899.546226851897</v>
      </c>
      <c r="D746" s="3" t="s">
        <v>20</v>
      </c>
      <c r="E746" s="3" t="s">
        <v>24</v>
      </c>
      <c r="F746" s="3"/>
      <c r="G746" s="2">
        <v>12951</v>
      </c>
      <c r="H746" s="2" t="str">
        <f>VLOOKUP(G746,Produtos!A:B,2,FALSE)</f>
        <v>BRAHMA CHOPP ZERO LN 355 SIXP CX CART C4</v>
      </c>
      <c r="I746" s="3" t="s">
        <v>503</v>
      </c>
      <c r="J746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7" spans="1:10" x14ac:dyDescent="0.25">
      <c r="A747">
        <v>746</v>
      </c>
      <c r="B747" s="1">
        <v>45899.549004629604</v>
      </c>
      <c r="C747" s="1">
        <v>45899.549583333297</v>
      </c>
      <c r="D747" s="3" t="s">
        <v>20</v>
      </c>
      <c r="E747" s="3" t="s">
        <v>26</v>
      </c>
      <c r="F747" s="3"/>
      <c r="G747" s="2">
        <v>19310</v>
      </c>
      <c r="H747" s="2" t="str">
        <f>VLOOKUP(G747,Produtos!A:B,2,FALSE)</f>
        <v>ORIGINAL LATA 350ML CX CARTAO C/12 NPAL</v>
      </c>
      <c r="I747" s="3" t="s">
        <v>491</v>
      </c>
      <c r="J747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8" spans="1:10" x14ac:dyDescent="0.25">
      <c r="A748">
        <v>747</v>
      </c>
      <c r="B748" s="1">
        <v>45899.551064814797</v>
      </c>
      <c r="C748" s="1">
        <v>45899.551678240699</v>
      </c>
      <c r="D748" s="3" t="s">
        <v>20</v>
      </c>
      <c r="E748" s="3" t="s">
        <v>21</v>
      </c>
      <c r="F748" s="3"/>
      <c r="G748" s="2">
        <v>6903</v>
      </c>
      <c r="H748" s="2" t="str">
        <f>VLOOKUP(G748,Produtos!A:B,2,FALSE)</f>
        <v>AGUA M F DA ILHA S/G PVC 500ML CAIXA C/1</v>
      </c>
      <c r="I748" s="3" t="s">
        <v>492</v>
      </c>
      <c r="J748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49" spans="1:10" x14ac:dyDescent="0.25">
      <c r="A749">
        <v>748</v>
      </c>
      <c r="B749" s="1">
        <v>45899.5531134259</v>
      </c>
      <c r="C749" s="1">
        <v>45899.553680555597</v>
      </c>
      <c r="D749" s="3" t="s">
        <v>20</v>
      </c>
      <c r="E749" s="3" t="s">
        <v>21</v>
      </c>
      <c r="F749" s="3"/>
      <c r="G749" s="2">
        <v>9089</v>
      </c>
      <c r="H749" s="2" t="str">
        <f>VLOOKUP(G749,Produtos!A:B,2,FALSE)</f>
        <v>SUKITA LATA 350ML SH C/12 NPAL</v>
      </c>
      <c r="I749" s="3" t="s">
        <v>491</v>
      </c>
      <c r="J749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50" spans="1:10" x14ac:dyDescent="0.25">
      <c r="A750">
        <v>749</v>
      </c>
      <c r="B750" s="1">
        <v>45899.562662037002</v>
      </c>
      <c r="C750" s="1">
        <v>45899.5632175926</v>
      </c>
      <c r="D750" s="3" t="s">
        <v>20</v>
      </c>
      <c r="E750" s="3" t="s">
        <v>26</v>
      </c>
      <c r="F750" s="3"/>
      <c r="G750" s="2">
        <v>9096</v>
      </c>
      <c r="H750" s="2" t="str">
        <f>VLOOKUP(G750,Produtos!A:B,2,FALSE)</f>
        <v>PEPSI COLA LATA 350ML SH C/12 NPAL</v>
      </c>
      <c r="I750" s="3" t="s">
        <v>491</v>
      </c>
      <c r="J750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51" spans="1:10" x14ac:dyDescent="0.25">
      <c r="A751">
        <v>750</v>
      </c>
      <c r="B751" s="1">
        <v>45899.739791666703</v>
      </c>
      <c r="C751" s="1">
        <v>45899.7405671296</v>
      </c>
      <c r="D751" s="3" t="s">
        <v>32</v>
      </c>
      <c r="E751" s="3" t="s">
        <v>16</v>
      </c>
      <c r="F751" s="3"/>
      <c r="G751" s="3"/>
      <c r="H751" s="3" t="e">
        <f>VLOOKUP(G751,Produtos!A:B,2,FALSE)</f>
        <v>#N/A</v>
      </c>
      <c r="I751" s="3"/>
      <c r="J751" s="1" t="str">
        <f>YEAR(Table1[[#This Row],[Hora de início]])&amp;"/"&amp;IF(MONTH(Table1[[#This Row],[Hora de início]])&lt;10,"0"&amp;MONTH(Table1[[#This Row],[Hora de início]]),MONTH(Table1[[#This Row],[Hora de início]]))</f>
        <v>2025/08</v>
      </c>
    </row>
    <row r="752" spans="1:10" x14ac:dyDescent="0.25">
      <c r="A752">
        <v>751</v>
      </c>
      <c r="B752" s="1">
        <v>45901.332199074102</v>
      </c>
      <c r="C752" s="1">
        <v>45901.3328356481</v>
      </c>
      <c r="D752" s="3" t="s">
        <v>20</v>
      </c>
      <c r="E752" s="3" t="s">
        <v>24</v>
      </c>
      <c r="F752" s="3"/>
      <c r="G752" s="2">
        <v>1898</v>
      </c>
      <c r="H752" s="2" t="str">
        <f>VLOOKUP(G752,Produtos!A:B,2,FALSE)</f>
        <v>BRAHMA CHOPP LT 269ML SH C/15 NPAL</v>
      </c>
      <c r="I752" s="3" t="s">
        <v>491</v>
      </c>
      <c r="J75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3" spans="1:10" x14ac:dyDescent="0.25">
      <c r="A753">
        <v>752</v>
      </c>
      <c r="B753" s="1">
        <v>45901.3355787037</v>
      </c>
      <c r="C753" s="1">
        <v>45901.335821759298</v>
      </c>
      <c r="D753" s="3" t="s">
        <v>20</v>
      </c>
      <c r="E753" s="3" t="s">
        <v>24</v>
      </c>
      <c r="F753" s="3"/>
      <c r="G753" s="2">
        <v>22177</v>
      </c>
      <c r="H753" s="2" t="str">
        <f>VLOOKUP(G753,Produtos!A:B,2,FALSE)</f>
        <v>BUDWEISER ZERO LT SLEEK 350ML C8 CX CART</v>
      </c>
      <c r="I753" s="3" t="s">
        <v>491</v>
      </c>
      <c r="J75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4" spans="1:10" x14ac:dyDescent="0.25">
      <c r="A754">
        <v>753</v>
      </c>
      <c r="B754" s="1">
        <v>45901.336932870399</v>
      </c>
      <c r="C754" s="1">
        <v>45901.337685185201</v>
      </c>
      <c r="D754" s="3" t="s">
        <v>20</v>
      </c>
      <c r="E754" s="3" t="s">
        <v>24</v>
      </c>
      <c r="F754" s="3"/>
      <c r="G754" s="2">
        <v>20498</v>
      </c>
      <c r="H754" s="2" t="str">
        <f>VLOOKUP(G754,Produtos!A:B,2,FALSE)</f>
        <v>BRAHMA DUPLO MALTE LT SLEEK 350ML SH C12</v>
      </c>
      <c r="I754" s="3" t="s">
        <v>491</v>
      </c>
      <c r="J75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5" spans="1:10" x14ac:dyDescent="0.25">
      <c r="A755">
        <v>754</v>
      </c>
      <c r="B755" s="1">
        <v>45901.338969907403</v>
      </c>
      <c r="C755" s="1">
        <v>45901.339594907397</v>
      </c>
      <c r="D755" s="3" t="s">
        <v>20</v>
      </c>
      <c r="E755" s="3" t="s">
        <v>26</v>
      </c>
      <c r="F755" s="3"/>
      <c r="G755" s="2">
        <v>2349</v>
      </c>
      <c r="H755" s="2" t="str">
        <f>VLOOKUP(G755,Produtos!A:B,2,FALSE)</f>
        <v>GUARANA CHP ANTARCTICA PET 2L CAIXA C/6</v>
      </c>
      <c r="I755" s="3" t="s">
        <v>492</v>
      </c>
      <c r="J75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6" spans="1:10" x14ac:dyDescent="0.25">
      <c r="A756">
        <v>755</v>
      </c>
      <c r="B756" s="1">
        <v>45901.339363425897</v>
      </c>
      <c r="C756" s="1">
        <v>45901.340173611097</v>
      </c>
      <c r="D756" s="3" t="s">
        <v>18</v>
      </c>
      <c r="E756" s="3" t="s">
        <v>24</v>
      </c>
      <c r="F756" s="3"/>
      <c r="G756" s="2">
        <v>20498</v>
      </c>
      <c r="H756" s="2" t="str">
        <f>VLOOKUP(G756,Produtos!A:B,2,FALSE)</f>
        <v>BRAHMA DUPLO MALTE LT SLEEK 350ML SH C12</v>
      </c>
      <c r="I756" s="3" t="s">
        <v>493</v>
      </c>
      <c r="J75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7" spans="1:10" x14ac:dyDescent="0.25">
      <c r="A757">
        <v>756</v>
      </c>
      <c r="B757" s="1">
        <v>45901.3410532407</v>
      </c>
      <c r="C757" s="1">
        <v>45901.341608796298</v>
      </c>
      <c r="D757" s="3" t="s">
        <v>20</v>
      </c>
      <c r="E757" s="3" t="s">
        <v>26</v>
      </c>
      <c r="F757" s="3"/>
      <c r="G757" s="2">
        <v>9096</v>
      </c>
      <c r="H757" s="2" t="str">
        <f>VLOOKUP(G757,Produtos!A:B,2,FALSE)</f>
        <v>PEPSI COLA LATA 350ML SH C/12 NPAL</v>
      </c>
      <c r="I757" s="3" t="s">
        <v>491</v>
      </c>
      <c r="J75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8" spans="1:10" x14ac:dyDescent="0.25">
      <c r="A758">
        <v>757</v>
      </c>
      <c r="B758" s="1">
        <v>45901.343634259298</v>
      </c>
      <c r="C758" s="1">
        <v>45901.344120370399</v>
      </c>
      <c r="D758" s="3" t="s">
        <v>20</v>
      </c>
      <c r="E758" s="3" t="s">
        <v>21</v>
      </c>
      <c r="F758" s="3"/>
      <c r="G758" s="2">
        <v>14135</v>
      </c>
      <c r="H758" s="2" t="str">
        <f>VLOOKUP(G758,Produtos!A:B,2,FALSE)</f>
        <v>BUDWEISER LT 473ML SIX-PACK SH C/2 NPAL</v>
      </c>
      <c r="I758" s="3" t="s">
        <v>491</v>
      </c>
      <c r="J75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59" spans="1:10" x14ac:dyDescent="0.25">
      <c r="A759">
        <v>758</v>
      </c>
      <c r="B759" s="1">
        <v>45901.4299537037</v>
      </c>
      <c r="C759" s="1">
        <v>45901.430925925903</v>
      </c>
      <c r="D759" s="3" t="s">
        <v>20</v>
      </c>
      <c r="E759" s="3" t="s">
        <v>24</v>
      </c>
      <c r="F759" s="3"/>
      <c r="G759" s="2">
        <v>2132</v>
      </c>
      <c r="H759" s="2" t="str">
        <f>VLOOKUP(G759,Produtos!A:B,2,FALSE)</f>
        <v>GUARANA CHP ANTARCTICA PET1L CX C/6 NRIO</v>
      </c>
      <c r="I759" s="3" t="s">
        <v>491</v>
      </c>
      <c r="J75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0" spans="1:10" x14ac:dyDescent="0.25">
      <c r="A760">
        <v>759</v>
      </c>
      <c r="B760" s="1">
        <v>45901.495902777802</v>
      </c>
      <c r="C760" s="1">
        <v>45901.496539351901</v>
      </c>
      <c r="D760" s="3" t="s">
        <v>18</v>
      </c>
      <c r="E760" s="3" t="s">
        <v>21</v>
      </c>
      <c r="F760" s="3"/>
      <c r="G760" s="2">
        <v>21020</v>
      </c>
      <c r="H760" s="2" t="str">
        <f>VLOOKUP(G760,Produtos!A:B,2,FALSE)</f>
        <v>BUDWEISER LT SLEEK 350ML CX CART C12</v>
      </c>
      <c r="I760" s="3" t="s">
        <v>493</v>
      </c>
      <c r="J76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1" spans="1:10" x14ac:dyDescent="0.25">
      <c r="A761">
        <v>760</v>
      </c>
      <c r="B761" s="1">
        <v>45901.895902777796</v>
      </c>
      <c r="C761" s="1">
        <v>45901.896284722199</v>
      </c>
      <c r="D761" s="3" t="s">
        <v>22</v>
      </c>
      <c r="E761" s="3" t="s">
        <v>16</v>
      </c>
      <c r="F761" s="3"/>
      <c r="G761" s="3"/>
      <c r="H761" s="3" t="e">
        <f>VLOOKUP(G761,Produtos!A:B,2,FALSE)</f>
        <v>#N/A</v>
      </c>
      <c r="I761" s="3" t="s">
        <v>506</v>
      </c>
      <c r="J76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2" spans="1:10" x14ac:dyDescent="0.25">
      <c r="A762">
        <v>761</v>
      </c>
      <c r="B762" s="1">
        <v>45902.3256481481</v>
      </c>
      <c r="C762" s="1">
        <v>45902.326388888898</v>
      </c>
      <c r="D762" s="3" t="s">
        <v>20</v>
      </c>
      <c r="E762" s="3" t="s">
        <v>21</v>
      </c>
      <c r="F762" s="3"/>
      <c r="G762" s="2">
        <v>17808</v>
      </c>
      <c r="H762" s="2" t="str">
        <f>VLOOKUP(G762,Produtos!A:B,2,FALSE)</f>
        <v>BUDWEISER OW 330ML CX C 24</v>
      </c>
      <c r="I762" s="3" t="s">
        <v>503</v>
      </c>
      <c r="J76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3" spans="1:10" x14ac:dyDescent="0.25">
      <c r="A763">
        <v>762</v>
      </c>
      <c r="B763" s="1">
        <v>45902.328113425901</v>
      </c>
      <c r="C763" s="1">
        <v>45902.328287037002</v>
      </c>
      <c r="D763" s="3" t="s">
        <v>20</v>
      </c>
      <c r="E763" s="3" t="s">
        <v>21</v>
      </c>
      <c r="F763" s="3"/>
      <c r="G763" s="2">
        <v>9085</v>
      </c>
      <c r="H763" s="2" t="str">
        <f>VLOOKUP(G763,Produtos!A:B,2,FALSE)</f>
        <v>GUARANA CHP ANTARCT DIET LT350ML SHC/12</v>
      </c>
      <c r="I763" s="3" t="s">
        <v>491</v>
      </c>
      <c r="J76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4" spans="1:10" x14ac:dyDescent="0.25">
      <c r="A764">
        <v>763</v>
      </c>
      <c r="B764" s="1">
        <v>45902.339479166701</v>
      </c>
      <c r="C764" s="1">
        <v>45902.341701388897</v>
      </c>
      <c r="D764" s="3" t="s">
        <v>18</v>
      </c>
      <c r="E764" s="3" t="s">
        <v>24</v>
      </c>
      <c r="F764" s="3"/>
      <c r="G764" s="2">
        <v>9081</v>
      </c>
      <c r="H764" s="2" t="str">
        <f>VLOOKUP(G764,Produtos!A:B,2,FALSE)</f>
        <v>MALZBIER BRAHMA LATA 350ML SH C/12 NPAL</v>
      </c>
      <c r="I764" s="3" t="s">
        <v>493</v>
      </c>
      <c r="J76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5" spans="1:10" x14ac:dyDescent="0.25">
      <c r="A765">
        <v>764</v>
      </c>
      <c r="B765" s="1">
        <v>45902.341712963003</v>
      </c>
      <c r="C765" s="1">
        <v>45902.3422222222</v>
      </c>
      <c r="D765" s="3" t="s">
        <v>18</v>
      </c>
      <c r="E765" s="3" t="s">
        <v>21</v>
      </c>
      <c r="F765" s="3"/>
      <c r="G765" s="2">
        <v>17797</v>
      </c>
      <c r="H765" s="2" t="str">
        <f>VLOOKUP(G765,Produtos!A:B,2,FALSE)</f>
        <v>BRAHMA CHOPP LATA 350ML SH 18 MULTIPACK</v>
      </c>
      <c r="I765" s="3" t="s">
        <v>493</v>
      </c>
      <c r="J76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6" spans="1:10" x14ac:dyDescent="0.25">
      <c r="A766">
        <v>765</v>
      </c>
      <c r="B766" s="1">
        <v>45902.343368055597</v>
      </c>
      <c r="C766" s="1">
        <v>45902.343900462998</v>
      </c>
      <c r="D766" s="3" t="s">
        <v>18</v>
      </c>
      <c r="E766" s="3" t="s">
        <v>21</v>
      </c>
      <c r="F766" s="3"/>
      <c r="G766" s="2">
        <v>17797</v>
      </c>
      <c r="H766" s="2" t="str">
        <f>VLOOKUP(G766,Produtos!A:B,2,FALSE)</f>
        <v>BRAHMA CHOPP LATA 350ML SH 18 MULTIPACK</v>
      </c>
      <c r="I766" s="3" t="s">
        <v>493</v>
      </c>
      <c r="J76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7" spans="1:10" x14ac:dyDescent="0.25">
      <c r="A767">
        <v>766</v>
      </c>
      <c r="B767" s="1">
        <v>45903.337766203702</v>
      </c>
      <c r="C767" s="1">
        <v>45903.338194444397</v>
      </c>
      <c r="D767" s="3" t="s">
        <v>20</v>
      </c>
      <c r="E767" s="3" t="s">
        <v>24</v>
      </c>
      <c r="F767" s="3"/>
      <c r="G767" s="2">
        <v>9068</v>
      </c>
      <c r="H767" s="2" t="str">
        <f>VLOOKUP(G767,Produtos!A:B,2,FALSE)</f>
        <v>SKOL LATA 350ML SH C/12 NPAL</v>
      </c>
      <c r="I767" s="3" t="s">
        <v>491</v>
      </c>
      <c r="J76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8" spans="1:10" x14ac:dyDescent="0.25">
      <c r="A768">
        <v>767</v>
      </c>
      <c r="B768" s="1">
        <v>45903.338750000003</v>
      </c>
      <c r="C768" s="1">
        <v>45903.339236111096</v>
      </c>
      <c r="D768" s="3" t="s">
        <v>20</v>
      </c>
      <c r="E768" s="3" t="s">
        <v>24</v>
      </c>
      <c r="F768" s="3"/>
      <c r="G768" s="2">
        <v>9069</v>
      </c>
      <c r="H768" s="2" t="str">
        <f>VLOOKUP(G768,Produtos!A:B,2,FALSE)</f>
        <v>BRAHMA CHOPP LATA 350ML SH C/12 NPAL</v>
      </c>
      <c r="I768" s="3" t="s">
        <v>491</v>
      </c>
      <c r="J76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69" spans="1:10" x14ac:dyDescent="0.25">
      <c r="A769">
        <v>768</v>
      </c>
      <c r="B769" s="1">
        <v>45903.339270833298</v>
      </c>
      <c r="C769" s="1">
        <v>45903.339803240699</v>
      </c>
      <c r="D769" s="3" t="s">
        <v>18</v>
      </c>
      <c r="E769" s="3" t="s">
        <v>21</v>
      </c>
      <c r="F769" s="3"/>
      <c r="G769" s="2">
        <v>14135</v>
      </c>
      <c r="H769" s="2" t="str">
        <f>VLOOKUP(G769,Produtos!A:B,2,FALSE)</f>
        <v>BUDWEISER LT 473ML SIX-PACK SH C/2 NPAL</v>
      </c>
      <c r="I769" s="3" t="s">
        <v>493</v>
      </c>
      <c r="J76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0" spans="1:10" x14ac:dyDescent="0.25">
      <c r="A770">
        <v>769</v>
      </c>
      <c r="B770" s="1">
        <v>45903.444652777798</v>
      </c>
      <c r="C770" s="1">
        <v>45903.445324074099</v>
      </c>
      <c r="D770" s="3" t="s">
        <v>20</v>
      </c>
      <c r="E770" s="3" t="s">
        <v>24</v>
      </c>
      <c r="F770" s="3"/>
      <c r="G770" s="2">
        <v>9071</v>
      </c>
      <c r="H770" s="2" t="str">
        <f>VLOOKUP(G770,Produtos!A:B,2,FALSE)</f>
        <v>CARACU LATA 350ML SH C/12 NPAL</v>
      </c>
      <c r="I770" s="3" t="s">
        <v>491</v>
      </c>
      <c r="J77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1" spans="1:10" x14ac:dyDescent="0.25">
      <c r="A771">
        <v>770</v>
      </c>
      <c r="B771" s="1">
        <v>45903.446782407402</v>
      </c>
      <c r="C771" s="1">
        <v>45903.447523148097</v>
      </c>
      <c r="D771" s="3" t="s">
        <v>20</v>
      </c>
      <c r="E771" s="3" t="s">
        <v>24</v>
      </c>
      <c r="F771" s="3"/>
      <c r="G771" s="2">
        <v>8336</v>
      </c>
      <c r="H771" s="2" t="str">
        <f>VLOOKUP(G771,Produtos!A:B,2,FALSE)</f>
        <v>ORIGINAL ONE WAY 600ML CX 12</v>
      </c>
      <c r="I771" s="3" t="s">
        <v>496</v>
      </c>
      <c r="J77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2" spans="1:10" x14ac:dyDescent="0.25">
      <c r="A772">
        <v>771</v>
      </c>
      <c r="B772" s="1">
        <v>45903.449907407397</v>
      </c>
      <c r="C772" s="1">
        <v>45903.450509259303</v>
      </c>
      <c r="D772" s="3" t="s">
        <v>20</v>
      </c>
      <c r="E772" s="3" t="s">
        <v>34</v>
      </c>
      <c r="F772" s="3"/>
      <c r="G772" s="2">
        <v>9067</v>
      </c>
      <c r="H772" s="2" t="str">
        <f>VLOOKUP(G772,Produtos!A:B,2,FALSE)</f>
        <v>ANTARCTICA PILSEN LATA 350ML SH C/12 NPA</v>
      </c>
      <c r="I772" s="3" t="s">
        <v>491</v>
      </c>
      <c r="J77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3" spans="1:10" x14ac:dyDescent="0.25">
      <c r="A773">
        <v>772</v>
      </c>
      <c r="B773" s="1">
        <v>45903.801458333299</v>
      </c>
      <c r="C773" s="1">
        <v>45903.802199074104</v>
      </c>
      <c r="D773" s="3" t="s">
        <v>18</v>
      </c>
      <c r="E773" s="3" t="s">
        <v>26</v>
      </c>
      <c r="F773" s="3"/>
      <c r="G773" s="2">
        <v>19310</v>
      </c>
      <c r="H773" s="2" t="str">
        <f>VLOOKUP(G773,Produtos!A:B,2,FALSE)</f>
        <v>ORIGINAL LATA 350ML CX CARTAO C/12 NPAL</v>
      </c>
      <c r="I773" s="3" t="s">
        <v>493</v>
      </c>
      <c r="J77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4" spans="1:10" x14ac:dyDescent="0.25">
      <c r="A774">
        <v>773</v>
      </c>
      <c r="B774" s="1">
        <v>45903.802222222199</v>
      </c>
      <c r="C774" s="1">
        <v>45903.8028009259</v>
      </c>
      <c r="D774" s="3" t="s">
        <v>18</v>
      </c>
      <c r="E774" s="3" t="s">
        <v>24</v>
      </c>
      <c r="F774" s="3"/>
      <c r="G774" s="2">
        <v>19310</v>
      </c>
      <c r="H774" s="2" t="str">
        <f>VLOOKUP(G774,Produtos!A:B,2,FALSE)</f>
        <v>ORIGINAL LATA 350ML CX CARTAO C/12 NPAL</v>
      </c>
      <c r="I774" s="3" t="s">
        <v>493</v>
      </c>
      <c r="J77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5" spans="1:10" x14ac:dyDescent="0.25">
      <c r="A775">
        <v>774</v>
      </c>
      <c r="B775" s="1">
        <v>45903.802812499998</v>
      </c>
      <c r="C775" s="1">
        <v>45903.803912037001</v>
      </c>
      <c r="D775" s="3" t="s">
        <v>18</v>
      </c>
      <c r="E775" s="3" t="s">
        <v>21</v>
      </c>
      <c r="F775" s="3"/>
      <c r="G775" s="2">
        <v>17678</v>
      </c>
      <c r="H775" s="2" t="str">
        <f>VLOOKUP(G775,Produtos!A:B,2,FALSE)</f>
        <v>SKOL LATA 350ML SH C/18 NPAL MULTPACK</v>
      </c>
      <c r="I775" s="3" t="s">
        <v>493</v>
      </c>
      <c r="J77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6" spans="1:10" x14ac:dyDescent="0.25">
      <c r="A776">
        <v>775</v>
      </c>
      <c r="B776" s="1">
        <v>45904.364641203698</v>
      </c>
      <c r="C776" s="1">
        <v>45904.365243055603</v>
      </c>
      <c r="D776" s="3" t="s">
        <v>20</v>
      </c>
      <c r="E776" s="3" t="s">
        <v>26</v>
      </c>
      <c r="F776" s="3"/>
      <c r="G776" s="2">
        <v>17797</v>
      </c>
      <c r="H776" s="2" t="str">
        <f>VLOOKUP(G776,Produtos!A:B,2,FALSE)</f>
        <v>BRAHMA CHOPP LATA 350ML SH 18 MULTIPACK</v>
      </c>
      <c r="I776" s="3" t="s">
        <v>491</v>
      </c>
      <c r="J77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7" spans="1:10" x14ac:dyDescent="0.25">
      <c r="A777">
        <v>776</v>
      </c>
      <c r="B777" s="1">
        <v>45904.367106481499</v>
      </c>
      <c r="C777" s="1">
        <v>45904.367719907401</v>
      </c>
      <c r="D777" s="3" t="s">
        <v>20</v>
      </c>
      <c r="E777" s="3" t="s">
        <v>24</v>
      </c>
      <c r="F777" s="3"/>
      <c r="G777" s="2">
        <v>19321</v>
      </c>
      <c r="H777" s="2" t="str">
        <f>VLOOKUP(G777,Produtos!A:B,2,FALSE)</f>
        <v>GUARANA ANTARCTICA ZERO PET 200ML SH C12</v>
      </c>
      <c r="I777" s="3" t="s">
        <v>501</v>
      </c>
      <c r="J77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8" spans="1:10" x14ac:dyDescent="0.25">
      <c r="A778">
        <v>777</v>
      </c>
      <c r="B778" s="1">
        <v>45904.367754629602</v>
      </c>
      <c r="C778" s="1">
        <v>45904.368194444403</v>
      </c>
      <c r="D778" s="3" t="s">
        <v>20</v>
      </c>
      <c r="E778" s="3" t="s">
        <v>24</v>
      </c>
      <c r="F778" s="3"/>
      <c r="G778" s="2">
        <v>9069</v>
      </c>
      <c r="H778" s="2" t="str">
        <f>VLOOKUP(G778,Produtos!A:B,2,FALSE)</f>
        <v>BRAHMA CHOPP LATA 350ML SH C/12 NPAL</v>
      </c>
      <c r="I778" s="3" t="s">
        <v>491</v>
      </c>
      <c r="J77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79" spans="1:10" x14ac:dyDescent="0.25">
      <c r="A779">
        <v>778</v>
      </c>
      <c r="B779" s="1">
        <v>45905.328969907401</v>
      </c>
      <c r="C779" s="1">
        <v>45905.329456018502</v>
      </c>
      <c r="D779" s="3" t="s">
        <v>20</v>
      </c>
      <c r="E779" s="3" t="s">
        <v>26</v>
      </c>
      <c r="F779" s="3"/>
      <c r="G779" s="2">
        <v>9320</v>
      </c>
      <c r="H779" s="2" t="str">
        <f>VLOOKUP(G779,Produtos!A:B,2,FALSE)</f>
        <v>BRAHMA CHOPP LT 473ML SH C/12 NPAL</v>
      </c>
      <c r="I779" s="3" t="s">
        <v>491</v>
      </c>
      <c r="J77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0" spans="1:10" x14ac:dyDescent="0.25">
      <c r="A780">
        <v>779</v>
      </c>
      <c r="B780" s="1">
        <v>45905.330312500002</v>
      </c>
      <c r="C780" s="1">
        <v>45905.330856481502</v>
      </c>
      <c r="D780" s="3" t="s">
        <v>20</v>
      </c>
      <c r="E780" s="3" t="s">
        <v>24</v>
      </c>
      <c r="F780" s="3"/>
      <c r="G780" s="2">
        <v>9089</v>
      </c>
      <c r="H780" s="2" t="str">
        <f>VLOOKUP(G780,Produtos!A:B,2,FALSE)</f>
        <v>SUKITA LATA 350ML SH C/12 NPAL</v>
      </c>
      <c r="I780" s="3" t="s">
        <v>491</v>
      </c>
      <c r="J78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1" spans="1:10" x14ac:dyDescent="0.25">
      <c r="A781">
        <v>780</v>
      </c>
      <c r="B781" s="1">
        <v>45905.343379629601</v>
      </c>
      <c r="C781" s="1">
        <v>45905.344375000001</v>
      </c>
      <c r="D781" s="3" t="s">
        <v>18</v>
      </c>
      <c r="E781" s="3" t="s">
        <v>24</v>
      </c>
      <c r="F781" s="3"/>
      <c r="G781" s="2">
        <v>9069</v>
      </c>
      <c r="H781" s="2" t="str">
        <f>VLOOKUP(G781,Produtos!A:B,2,FALSE)</f>
        <v>BRAHMA CHOPP LATA 350ML SH C/12 NPAL</v>
      </c>
      <c r="I781" s="3" t="s">
        <v>493</v>
      </c>
      <c r="J78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2" spans="1:10" x14ac:dyDescent="0.25">
      <c r="A782">
        <v>781</v>
      </c>
      <c r="B782" s="1">
        <v>45905.344456018502</v>
      </c>
      <c r="C782" s="1">
        <v>45905.345925925903</v>
      </c>
      <c r="D782" s="3" t="s">
        <v>18</v>
      </c>
      <c r="E782" s="3" t="s">
        <v>26</v>
      </c>
      <c r="F782" s="3"/>
      <c r="G782" s="2">
        <v>9085</v>
      </c>
      <c r="H782" s="2" t="str">
        <f>VLOOKUP(G782,Produtos!A:B,2,FALSE)</f>
        <v>GUARANA CHP ANTARCT DIET LT350ML SHC/12</v>
      </c>
      <c r="I782" s="3" t="s">
        <v>493</v>
      </c>
      <c r="J78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3" spans="1:10" x14ac:dyDescent="0.25">
      <c r="A783">
        <v>782</v>
      </c>
      <c r="B783" s="1">
        <v>45905.345960648097</v>
      </c>
      <c r="C783" s="1">
        <v>45905.347025463001</v>
      </c>
      <c r="D783" s="3" t="s">
        <v>18</v>
      </c>
      <c r="E783" s="3" t="s">
        <v>24</v>
      </c>
      <c r="F783" s="3"/>
      <c r="G783" s="2">
        <v>9091</v>
      </c>
      <c r="H783" s="2" t="str">
        <f>VLOOKUP(G783,Produtos!A:B,2,FALSE)</f>
        <v>TONICA ANTARCTICA LT 350ML SH C/12 NPAL</v>
      </c>
      <c r="I783" s="3" t="s">
        <v>493</v>
      </c>
      <c r="J78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4" spans="1:10" x14ac:dyDescent="0.25">
      <c r="A784">
        <v>783</v>
      </c>
      <c r="B784" s="1">
        <v>45908.378645833298</v>
      </c>
      <c r="C784" s="1">
        <v>45908.379224536999</v>
      </c>
      <c r="D784" s="3" t="s">
        <v>18</v>
      </c>
      <c r="E784" s="3" t="s">
        <v>24</v>
      </c>
      <c r="F784" s="3"/>
      <c r="G784" s="2">
        <v>9320</v>
      </c>
      <c r="H784" s="2" t="str">
        <f>VLOOKUP(G784,Produtos!A:B,2,FALSE)</f>
        <v>BRAHMA CHOPP LT 473ML SH C/12 NPAL</v>
      </c>
      <c r="I784" s="3" t="s">
        <v>493</v>
      </c>
      <c r="J78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5" spans="1:10" x14ac:dyDescent="0.25">
      <c r="A785">
        <v>784</v>
      </c>
      <c r="B785" s="1">
        <v>45908.379328703697</v>
      </c>
      <c r="C785" s="1">
        <v>45908.379895833299</v>
      </c>
      <c r="D785" s="3" t="s">
        <v>18</v>
      </c>
      <c r="E785" s="3" t="s">
        <v>24</v>
      </c>
      <c r="F785" s="3"/>
      <c r="G785" s="2">
        <v>9096</v>
      </c>
      <c r="H785" s="2" t="str">
        <f>VLOOKUP(G785,Produtos!A:B,2,FALSE)</f>
        <v>PEPSI COLA LATA 350ML SH C/12 NPAL</v>
      </c>
      <c r="I785" s="3" t="s">
        <v>493</v>
      </c>
      <c r="J78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6" spans="1:10" x14ac:dyDescent="0.25">
      <c r="A786">
        <v>785</v>
      </c>
      <c r="B786" s="1">
        <v>45908.379918981504</v>
      </c>
      <c r="C786" s="1">
        <v>45908.381516203699</v>
      </c>
      <c r="D786" s="3" t="s">
        <v>18</v>
      </c>
      <c r="E786" s="3" t="s">
        <v>21</v>
      </c>
      <c r="F786" s="3"/>
      <c r="G786" s="2">
        <v>17808</v>
      </c>
      <c r="H786" s="2" t="str">
        <f>VLOOKUP(G786,Produtos!A:B,2,FALSE)</f>
        <v>BUDWEISER OW 330ML CX C 24</v>
      </c>
      <c r="I786" s="3" t="s">
        <v>493</v>
      </c>
      <c r="J78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7" spans="1:10" x14ac:dyDescent="0.25">
      <c r="A787">
        <v>786</v>
      </c>
      <c r="B787" s="1">
        <v>45908.381539351903</v>
      </c>
      <c r="C787" s="1">
        <v>45908.382129629601</v>
      </c>
      <c r="D787" s="3" t="s">
        <v>18</v>
      </c>
      <c r="E787" s="3" t="s">
        <v>21</v>
      </c>
      <c r="F787" s="3"/>
      <c r="G787" s="2">
        <v>21020</v>
      </c>
      <c r="H787" s="2" t="str">
        <f>VLOOKUP(G787,Produtos!A:B,2,FALSE)</f>
        <v>BUDWEISER LT SLEEK 350ML CX CART C12</v>
      </c>
      <c r="I787" s="3" t="s">
        <v>493</v>
      </c>
      <c r="J78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8" spans="1:10" x14ac:dyDescent="0.25">
      <c r="A788">
        <v>787</v>
      </c>
      <c r="B788" s="1">
        <v>45908.382210648102</v>
      </c>
      <c r="C788" s="1">
        <v>45908.382800925901</v>
      </c>
      <c r="D788" s="3" t="s">
        <v>18</v>
      </c>
      <c r="E788" s="3" t="s">
        <v>34</v>
      </c>
      <c r="F788" s="3"/>
      <c r="G788" s="2">
        <v>21020</v>
      </c>
      <c r="H788" s="2" t="str">
        <f>VLOOKUP(G788,Produtos!A:B,2,FALSE)</f>
        <v>BUDWEISER LT SLEEK 350ML CX CART C12</v>
      </c>
      <c r="I788" s="3" t="s">
        <v>493</v>
      </c>
      <c r="J78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89" spans="1:10" x14ac:dyDescent="0.25">
      <c r="A789">
        <v>788</v>
      </c>
      <c r="B789" s="1">
        <v>45908.387465277803</v>
      </c>
      <c r="C789" s="1">
        <v>45908.388287037</v>
      </c>
      <c r="D789" s="3" t="s">
        <v>20</v>
      </c>
      <c r="E789" s="3" t="s">
        <v>24</v>
      </c>
      <c r="F789" s="3"/>
      <c r="G789" s="2">
        <v>2349</v>
      </c>
      <c r="H789" s="2" t="str">
        <f>VLOOKUP(G789,Produtos!A:B,2,FALSE)</f>
        <v>GUARANA CHP ANTARCTICA PET 2L CAIXA C/6</v>
      </c>
      <c r="I789" s="3" t="s">
        <v>500</v>
      </c>
      <c r="J78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0" spans="1:10" x14ac:dyDescent="0.25">
      <c r="A790">
        <v>789</v>
      </c>
      <c r="B790" s="1">
        <v>45909.405648148102</v>
      </c>
      <c r="C790" s="1">
        <v>45909.4062037037</v>
      </c>
      <c r="D790" s="3" t="s">
        <v>20</v>
      </c>
      <c r="E790" s="3" t="s">
        <v>26</v>
      </c>
      <c r="F790" s="3"/>
      <c r="G790" s="2">
        <v>9084</v>
      </c>
      <c r="H790" s="2" t="str">
        <f>VLOOKUP(G790,Produtos!A:B,2,FALSE)</f>
        <v>GUARANA CHP ANTARCT LT350ML SH C/12 NPAL</v>
      </c>
      <c r="I790" s="3" t="s">
        <v>491</v>
      </c>
      <c r="J79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1" spans="1:10" x14ac:dyDescent="0.25">
      <c r="A791">
        <v>790</v>
      </c>
      <c r="B791" s="1">
        <v>45909.407488425903</v>
      </c>
      <c r="C791" s="1">
        <v>45909.407581018502</v>
      </c>
      <c r="D791" s="3" t="s">
        <v>20</v>
      </c>
      <c r="E791" s="3" t="s">
        <v>26</v>
      </c>
      <c r="F791" s="3"/>
      <c r="G791" s="2">
        <v>26699</v>
      </c>
      <c r="H791" s="2" t="str">
        <f>VLOOKUP(G791,Produtos!A:B,2,FALSE)</f>
        <v>GUAR. CHP ANT PET 2,25L SH C6 250ML GRAT</v>
      </c>
      <c r="I791" s="3" t="s">
        <v>491</v>
      </c>
      <c r="J79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2" spans="1:10" x14ac:dyDescent="0.25">
      <c r="A792">
        <v>791</v>
      </c>
      <c r="B792" s="1">
        <v>45910.569942129601</v>
      </c>
      <c r="C792" s="1">
        <v>45910.570462962998</v>
      </c>
      <c r="D792" s="3" t="s">
        <v>18</v>
      </c>
      <c r="E792" s="3" t="s">
        <v>24</v>
      </c>
      <c r="F792" s="3"/>
      <c r="G792" s="2">
        <v>12951</v>
      </c>
      <c r="H792" s="2" t="str">
        <f>VLOOKUP(G792,Produtos!A:B,2,FALSE)</f>
        <v>BRAHMA CHOPP ZERO LN 355 SIXP CX CART C4</v>
      </c>
      <c r="I792" s="3" t="s">
        <v>493</v>
      </c>
      <c r="J79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3" spans="1:10" x14ac:dyDescent="0.25">
      <c r="A793">
        <v>792</v>
      </c>
      <c r="B793" s="1">
        <v>45910.570486111101</v>
      </c>
      <c r="C793" s="1">
        <v>45910.571145833303</v>
      </c>
      <c r="D793" s="3" t="s">
        <v>18</v>
      </c>
      <c r="E793" s="3" t="s">
        <v>21</v>
      </c>
      <c r="F793" s="3"/>
      <c r="G793" s="2">
        <v>12948</v>
      </c>
      <c r="H793" s="2" t="str">
        <f>VLOOKUP(G793,Produtos!A:B,2,FALSE)</f>
        <v>BRAHMA CHOPP ZERO LATA 350 SH CX C12 NPA</v>
      </c>
      <c r="I793" s="3" t="s">
        <v>493</v>
      </c>
      <c r="J79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4" spans="1:10" x14ac:dyDescent="0.25">
      <c r="A794">
        <v>793</v>
      </c>
      <c r="B794" s="1">
        <v>45910.724849537</v>
      </c>
      <c r="C794" s="1">
        <v>45910.727986111102</v>
      </c>
      <c r="D794" s="3" t="s">
        <v>32</v>
      </c>
      <c r="E794" s="3" t="s">
        <v>16</v>
      </c>
      <c r="F794" s="3"/>
      <c r="G794" s="3"/>
      <c r="H794" s="3" t="e">
        <f>VLOOKUP(G794,Produtos!A:B,2,FALSE)</f>
        <v>#N/A</v>
      </c>
      <c r="I794" s="3"/>
      <c r="J79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5" spans="1:10" x14ac:dyDescent="0.25">
      <c r="A795">
        <v>794</v>
      </c>
      <c r="B795" s="1">
        <v>45910.746145833298</v>
      </c>
      <c r="C795" s="1">
        <v>45910.746805555602</v>
      </c>
      <c r="D795" s="3" t="s">
        <v>18</v>
      </c>
      <c r="E795" s="3" t="s">
        <v>21</v>
      </c>
      <c r="F795" s="3"/>
      <c r="G795" s="2">
        <v>17797</v>
      </c>
      <c r="H795" s="2" t="str">
        <f>VLOOKUP(G795,Produtos!A:B,2,FALSE)</f>
        <v>BRAHMA CHOPP LATA 350ML SH 18 MULTIPACK</v>
      </c>
      <c r="I795" s="3" t="s">
        <v>493</v>
      </c>
      <c r="J79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6" spans="1:10" x14ac:dyDescent="0.25">
      <c r="A796">
        <v>795</v>
      </c>
      <c r="B796" s="1">
        <v>45910.746840277803</v>
      </c>
      <c r="C796" s="1">
        <v>45910.7480671296</v>
      </c>
      <c r="D796" s="3" t="s">
        <v>18</v>
      </c>
      <c r="E796" s="3" t="s">
        <v>24</v>
      </c>
      <c r="F796" s="3"/>
      <c r="G796" s="2">
        <v>9320</v>
      </c>
      <c r="H796" s="2" t="str">
        <f>VLOOKUP(G796,Produtos!A:B,2,FALSE)</f>
        <v>BRAHMA CHOPP LT 473ML SH C/12 NPAL</v>
      </c>
      <c r="I796" s="3" t="s">
        <v>493</v>
      </c>
      <c r="J79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7" spans="1:10" x14ac:dyDescent="0.25">
      <c r="A797">
        <v>796</v>
      </c>
      <c r="B797" s="1">
        <v>45910.748680555596</v>
      </c>
      <c r="C797" s="1">
        <v>45910.749155092599</v>
      </c>
      <c r="D797" s="3" t="s">
        <v>18</v>
      </c>
      <c r="E797" s="3" t="s">
        <v>24</v>
      </c>
      <c r="F797" s="3"/>
      <c r="G797" s="2">
        <v>17678</v>
      </c>
      <c r="H797" s="2" t="str">
        <f>VLOOKUP(G797,Produtos!A:B,2,FALSE)</f>
        <v>SKOL LATA 350ML SH C/18 NPAL MULTPACK</v>
      </c>
      <c r="I797" s="3" t="s">
        <v>493</v>
      </c>
      <c r="J79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8" spans="1:10" x14ac:dyDescent="0.25">
      <c r="A798">
        <v>797</v>
      </c>
      <c r="B798" s="1">
        <v>45911.421481481499</v>
      </c>
      <c r="C798" s="1">
        <v>45911.4221875</v>
      </c>
      <c r="D798" s="3" t="s">
        <v>20</v>
      </c>
      <c r="E798" s="3" t="s">
        <v>24</v>
      </c>
      <c r="F798" s="3"/>
      <c r="G798" s="2">
        <v>22177</v>
      </c>
      <c r="H798" s="2" t="str">
        <f>VLOOKUP(G798,Produtos!A:B,2,FALSE)</f>
        <v>BUDWEISER ZERO LT SLEEK 350ML C8 CX CART</v>
      </c>
      <c r="I798" s="3" t="s">
        <v>491</v>
      </c>
      <c r="J79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799" spans="1:10" x14ac:dyDescent="0.25">
      <c r="A799">
        <v>798</v>
      </c>
      <c r="B799" s="1">
        <v>45911.426064814797</v>
      </c>
      <c r="C799" s="1">
        <v>45911.426747685196</v>
      </c>
      <c r="D799" s="3" t="s">
        <v>20</v>
      </c>
      <c r="E799" s="3" t="s">
        <v>26</v>
      </c>
      <c r="F799" s="3"/>
      <c r="G799" s="2">
        <v>9069</v>
      </c>
      <c r="H799" s="2" t="str">
        <f>VLOOKUP(G799,Produtos!A:B,2,FALSE)</f>
        <v>BRAHMA CHOPP LATA 350ML SH C/12 NPAL</v>
      </c>
      <c r="I799" s="3" t="s">
        <v>491</v>
      </c>
      <c r="J79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0" spans="1:10" x14ac:dyDescent="0.25">
      <c r="A800">
        <v>799</v>
      </c>
      <c r="B800" s="1">
        <v>45911.426747685196</v>
      </c>
      <c r="C800" s="1">
        <v>45911.427268518499</v>
      </c>
      <c r="D800" s="3" t="s">
        <v>18</v>
      </c>
      <c r="E800" s="3" t="s">
        <v>26</v>
      </c>
      <c r="F800" s="3"/>
      <c r="G800" s="2">
        <v>9069</v>
      </c>
      <c r="H800" s="2" t="str">
        <f>VLOOKUP(G800,Produtos!A:B,2,FALSE)</f>
        <v>BRAHMA CHOPP LATA 350ML SH C/12 NPAL</v>
      </c>
      <c r="I800" s="3" t="s">
        <v>493</v>
      </c>
      <c r="J80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1" spans="1:10" x14ac:dyDescent="0.25">
      <c r="A801">
        <v>800</v>
      </c>
      <c r="B801" s="1">
        <v>45911.4273032407</v>
      </c>
      <c r="C801" s="1">
        <v>45911.427962962996</v>
      </c>
      <c r="D801" s="3" t="s">
        <v>18</v>
      </c>
      <c r="E801" s="3" t="s">
        <v>24</v>
      </c>
      <c r="F801" s="3"/>
      <c r="G801" s="2">
        <v>23163</v>
      </c>
      <c r="H801" s="2" t="str">
        <f>VLOOKUP(G801,Produtos!A:B,2,FALSE)</f>
        <v>SUKITA TUBAINA PET 2L SHRINK C/6</v>
      </c>
      <c r="I801" s="3" t="s">
        <v>493</v>
      </c>
      <c r="J80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2" spans="1:10" x14ac:dyDescent="0.25">
      <c r="A802">
        <v>801</v>
      </c>
      <c r="B802" s="1">
        <v>45911.894224536998</v>
      </c>
      <c r="C802" s="1">
        <v>45911.894745370402</v>
      </c>
      <c r="D802" s="3" t="s">
        <v>22</v>
      </c>
      <c r="E802" s="3" t="s">
        <v>19</v>
      </c>
      <c r="F802" s="3"/>
      <c r="G802" s="3"/>
      <c r="H802" s="3" t="e">
        <f>VLOOKUP(G802,Produtos!A:B,2,FALSE)</f>
        <v>#N/A</v>
      </c>
      <c r="I802" s="3" t="s">
        <v>498</v>
      </c>
      <c r="J80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3" spans="1:10" x14ac:dyDescent="0.25">
      <c r="A803">
        <v>802</v>
      </c>
      <c r="B803" s="1">
        <v>45912.396678240701</v>
      </c>
      <c r="C803" s="1">
        <v>45912.3968634259</v>
      </c>
      <c r="D803" s="3" t="s">
        <v>20</v>
      </c>
      <c r="E803" s="3" t="s">
        <v>26</v>
      </c>
      <c r="F803" s="3"/>
      <c r="G803" s="2">
        <v>17797</v>
      </c>
      <c r="H803" s="2" t="str">
        <f>VLOOKUP(G803,Produtos!A:B,2,FALSE)</f>
        <v>BRAHMA CHOPP LATA 350ML SH 18 MULTIPACK</v>
      </c>
      <c r="I803" s="3" t="s">
        <v>491</v>
      </c>
      <c r="J803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4" spans="1:10" x14ac:dyDescent="0.25">
      <c r="A804">
        <v>803</v>
      </c>
      <c r="B804" s="1">
        <v>45912.416296296302</v>
      </c>
      <c r="C804" s="1">
        <v>45912.416851851798</v>
      </c>
      <c r="D804" s="3" t="s">
        <v>20</v>
      </c>
      <c r="E804" s="3" t="s">
        <v>24</v>
      </c>
      <c r="F804" s="3"/>
      <c r="G804" s="2">
        <v>9091</v>
      </c>
      <c r="H804" s="2" t="str">
        <f>VLOOKUP(G804,Produtos!A:B,2,FALSE)</f>
        <v>TONICA ANTARCTICA LT 350ML SH C/12 NPAL</v>
      </c>
      <c r="I804" s="3" t="s">
        <v>492</v>
      </c>
      <c r="J804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5" spans="1:10" x14ac:dyDescent="0.25">
      <c r="A805">
        <v>804</v>
      </c>
      <c r="B805" s="1">
        <v>45912.829189814802</v>
      </c>
      <c r="C805" s="1">
        <v>45912.829849537004</v>
      </c>
      <c r="D805" s="3" t="s">
        <v>18</v>
      </c>
      <c r="E805" s="3" t="s">
        <v>24</v>
      </c>
      <c r="F805" s="3"/>
      <c r="G805" s="2">
        <v>9091</v>
      </c>
      <c r="H805" s="2" t="str">
        <f>VLOOKUP(G805,Produtos!A:B,2,FALSE)</f>
        <v>TONICA ANTARCTICA LT 350ML SH C/12 NPAL</v>
      </c>
      <c r="I805" s="3" t="s">
        <v>493</v>
      </c>
      <c r="J805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6" spans="1:10" x14ac:dyDescent="0.25">
      <c r="A806">
        <v>805</v>
      </c>
      <c r="B806" s="1">
        <v>45912.829861111102</v>
      </c>
      <c r="C806" s="1">
        <v>45912.830486111103</v>
      </c>
      <c r="D806" s="3" t="s">
        <v>18</v>
      </c>
      <c r="E806" s="3" t="s">
        <v>26</v>
      </c>
      <c r="F806" s="3"/>
      <c r="G806" s="2">
        <v>9069</v>
      </c>
      <c r="H806" s="2" t="str">
        <f>VLOOKUP(G806,Produtos!A:B,2,FALSE)</f>
        <v>BRAHMA CHOPP LATA 350ML SH C/12 NPAL</v>
      </c>
      <c r="I806" s="3" t="s">
        <v>493</v>
      </c>
      <c r="J806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7" spans="1:10" x14ac:dyDescent="0.25">
      <c r="A807">
        <v>806</v>
      </c>
      <c r="B807" s="1">
        <v>45912.830682870401</v>
      </c>
      <c r="C807" s="1">
        <v>45912.831296296303</v>
      </c>
      <c r="D807" s="3" t="s">
        <v>18</v>
      </c>
      <c r="E807" s="3" t="s">
        <v>24</v>
      </c>
      <c r="F807" s="3"/>
      <c r="G807" s="2">
        <v>19310</v>
      </c>
      <c r="H807" s="2" t="str">
        <f>VLOOKUP(G807,Produtos!A:B,2,FALSE)</f>
        <v>ORIGINAL LATA 350ML CX CARTAO C/12 NPAL</v>
      </c>
      <c r="I807" s="3" t="s">
        <v>493</v>
      </c>
      <c r="J807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8" spans="1:10" x14ac:dyDescent="0.25">
      <c r="A808">
        <v>807</v>
      </c>
      <c r="B808" s="1">
        <v>45913.425659722197</v>
      </c>
      <c r="C808" s="1">
        <v>45913.426215277803</v>
      </c>
      <c r="D808" s="3" t="s">
        <v>8</v>
      </c>
      <c r="E808" s="3" t="s">
        <v>33</v>
      </c>
      <c r="F808" s="3"/>
      <c r="G808" s="3"/>
      <c r="H808" s="3" t="e">
        <f>VLOOKUP(G808,Produtos!A:B,2,FALSE)</f>
        <v>#N/A</v>
      </c>
      <c r="I808" s="3" t="s">
        <v>495</v>
      </c>
      <c r="J808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09" spans="1:10" x14ac:dyDescent="0.25">
      <c r="A809">
        <v>808</v>
      </c>
      <c r="B809" s="1">
        <v>45913.535983796297</v>
      </c>
      <c r="C809" s="1">
        <v>45913.536643518499</v>
      </c>
      <c r="D809" s="3" t="s">
        <v>20</v>
      </c>
      <c r="E809" s="3" t="s">
        <v>24</v>
      </c>
      <c r="F809" s="3"/>
      <c r="G809" s="2">
        <v>21658</v>
      </c>
      <c r="H809" s="2" t="str">
        <f>VLOOKUP(G809,Produtos!A:B,2,FALSE)</f>
        <v>SPATEN N LT SLEEK 350ML CX CART C12</v>
      </c>
      <c r="I809" s="3" t="s">
        <v>491</v>
      </c>
      <c r="J809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10" spans="1:10" x14ac:dyDescent="0.25">
      <c r="A810">
        <v>809</v>
      </c>
      <c r="B810" s="1">
        <v>45919.762083333299</v>
      </c>
      <c r="C810" s="1">
        <v>45919.7643634259</v>
      </c>
      <c r="D810" s="3" t="s">
        <v>32</v>
      </c>
      <c r="E810" s="3" t="s">
        <v>16</v>
      </c>
      <c r="F810" s="3"/>
      <c r="G810" s="3" t="s">
        <v>51</v>
      </c>
      <c r="H810" s="3" t="e">
        <f>VLOOKUP(G810,Produtos!A:B,2,FALSE)</f>
        <v>#N/A</v>
      </c>
      <c r="I810" s="3" t="s">
        <v>499</v>
      </c>
      <c r="J810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11" spans="1:10" x14ac:dyDescent="0.25">
      <c r="A811">
        <v>810</v>
      </c>
      <c r="B811" s="1">
        <v>45923.913113425901</v>
      </c>
      <c r="C811" s="1">
        <v>45923.913622685199</v>
      </c>
      <c r="D811" s="3" t="s">
        <v>22</v>
      </c>
      <c r="E811" s="3" t="s">
        <v>19</v>
      </c>
      <c r="F811" s="3"/>
      <c r="G811" s="3"/>
      <c r="H811" s="3" t="e">
        <f>VLOOKUP(G811,Produtos!A:B,2,FALSE)</f>
        <v>#N/A</v>
      </c>
      <c r="I811" s="3" t="s">
        <v>495</v>
      </c>
      <c r="J811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12" spans="1:10" x14ac:dyDescent="0.25">
      <c r="A812">
        <v>811</v>
      </c>
      <c r="B812" s="1">
        <v>45924.717546296299</v>
      </c>
      <c r="C812" s="1">
        <v>45924.7188888889</v>
      </c>
      <c r="D812" s="3" t="s">
        <v>32</v>
      </c>
      <c r="E812" s="3" t="s">
        <v>16</v>
      </c>
      <c r="F812" s="3"/>
      <c r="G812" s="3"/>
      <c r="H812" s="3" t="e">
        <f>VLOOKUP(G812,Produtos!A:B,2,FALSE)</f>
        <v>#N/A</v>
      </c>
      <c r="I812" s="3"/>
      <c r="J812" s="1" t="str">
        <f>YEAR(Table1[[#This Row],[Hora de início]])&amp;"/"&amp;IF(MONTH(Table1[[#This Row],[Hora de início]])&lt;10,"0"&amp;MONTH(Table1[[#This Row],[Hora de início]]),MONTH(Table1[[#This Row],[Hora de início]]))</f>
        <v>2025/09</v>
      </c>
    </row>
    <row r="813" spans="1:10" x14ac:dyDescent="0.25">
      <c r="A813">
        <v>812</v>
      </c>
      <c r="B813" s="1">
        <v>45931.719097222202</v>
      </c>
      <c r="C813" s="1">
        <v>45931.722662036998</v>
      </c>
      <c r="D813" s="3" t="s">
        <v>32</v>
      </c>
      <c r="E813" s="3" t="s">
        <v>16</v>
      </c>
      <c r="F813" s="3"/>
      <c r="G813" s="3"/>
      <c r="H813" s="3" t="e">
        <f>VLOOKUP(G813,Produtos!A:B,2,FALSE)</f>
        <v>#N/A</v>
      </c>
      <c r="I813" s="3"/>
      <c r="J8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4" spans="1:10" x14ac:dyDescent="0.25">
      <c r="A814">
        <v>813</v>
      </c>
      <c r="B814" s="1">
        <v>45938.324351851901</v>
      </c>
      <c r="C814" s="1">
        <v>45938.324930555602</v>
      </c>
      <c r="D814" s="3" t="s">
        <v>20</v>
      </c>
      <c r="E814" s="3" t="s">
        <v>24</v>
      </c>
      <c r="F814" s="3"/>
      <c r="G814" s="2">
        <v>504</v>
      </c>
      <c r="H814" s="2" t="str">
        <f>VLOOKUP(G814,Produtos!A:B,2,FALSE)</f>
        <v>PEPSI COLA PET 2L CAIXA C/6</v>
      </c>
      <c r="I814" s="3" t="s">
        <v>491</v>
      </c>
      <c r="J8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5" spans="1:10" x14ac:dyDescent="0.25">
      <c r="A815">
        <v>814</v>
      </c>
      <c r="B815" s="1">
        <v>45938.325995370396</v>
      </c>
      <c r="C815" s="1">
        <v>45938.326655092598</v>
      </c>
      <c r="D815" s="3" t="s">
        <v>20</v>
      </c>
      <c r="E815" s="3" t="s">
        <v>24</v>
      </c>
      <c r="F815" s="3"/>
      <c r="G815" s="2">
        <v>14135</v>
      </c>
      <c r="H815" s="2" t="str">
        <f>VLOOKUP(G815,Produtos!A:B,2,FALSE)</f>
        <v>BUDWEISER LT 473ML SIX-PACK SH C/2 NPAL</v>
      </c>
      <c r="I815" s="3" t="s">
        <v>491</v>
      </c>
      <c r="J8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6" spans="1:10" x14ac:dyDescent="0.25">
      <c r="A816">
        <v>815</v>
      </c>
      <c r="B816" s="1">
        <v>45938.328703703701</v>
      </c>
      <c r="C816" s="1">
        <v>45938.3292939815</v>
      </c>
      <c r="D816" s="3" t="s">
        <v>20</v>
      </c>
      <c r="E816" s="3" t="s">
        <v>24</v>
      </c>
      <c r="F816" s="3"/>
      <c r="G816" s="2">
        <v>9093</v>
      </c>
      <c r="H816" s="2" t="str">
        <f>VLOOKUP(G816,Produtos!A:B,2,FALSE)</f>
        <v>PEPSI TWIST LATA 350ML SH C/12 NPAL</v>
      </c>
      <c r="I816" s="3" t="s">
        <v>491</v>
      </c>
      <c r="J8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7" spans="1:10" x14ac:dyDescent="0.25">
      <c r="A817">
        <v>816</v>
      </c>
      <c r="B817" s="1">
        <v>45938.329872685201</v>
      </c>
      <c r="C817" s="1">
        <v>45938.330590277801</v>
      </c>
      <c r="D817" s="3" t="s">
        <v>20</v>
      </c>
      <c r="E817" s="3" t="s">
        <v>24</v>
      </c>
      <c r="F817" s="3"/>
      <c r="G817" s="2">
        <v>19729</v>
      </c>
      <c r="H817" s="2" t="str">
        <f>VLOOKUP(G817,Produtos!A:B,2,FALSE)</f>
        <v>STELLA ARTOIS LT SLEEK 350ML C 8 CX CART</v>
      </c>
      <c r="I817" s="3" t="s">
        <v>491</v>
      </c>
      <c r="J8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8" spans="1:10" x14ac:dyDescent="0.25">
      <c r="A818">
        <v>817</v>
      </c>
      <c r="B818" s="1">
        <v>45938.332048611097</v>
      </c>
      <c r="C818" s="1">
        <v>45938.332546296297</v>
      </c>
      <c r="D818" s="3" t="s">
        <v>20</v>
      </c>
      <c r="E818" s="3" t="s">
        <v>24</v>
      </c>
      <c r="F818" s="3"/>
      <c r="G818" s="2">
        <v>9068</v>
      </c>
      <c r="H818" s="2" t="str">
        <f>VLOOKUP(G818,Produtos!A:B,2,FALSE)</f>
        <v>SKOL LATA 350ML SH C/12 NPAL</v>
      </c>
      <c r="I818" s="3" t="s">
        <v>491</v>
      </c>
      <c r="J8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19" spans="1:10" x14ac:dyDescent="0.25">
      <c r="A819">
        <v>818</v>
      </c>
      <c r="B819" s="1">
        <v>45938.3331944444</v>
      </c>
      <c r="C819" s="1">
        <v>45938.333854166704</v>
      </c>
      <c r="D819" s="3" t="s">
        <v>20</v>
      </c>
      <c r="E819" s="3" t="s">
        <v>24</v>
      </c>
      <c r="F819" s="3"/>
      <c r="G819" s="2">
        <v>19310</v>
      </c>
      <c r="H819" s="2" t="str">
        <f>VLOOKUP(G819,Produtos!A:B,2,FALSE)</f>
        <v>ORIGINAL LATA 350ML CX CARTAO C/12 NPAL</v>
      </c>
      <c r="I819" s="3" t="s">
        <v>491</v>
      </c>
      <c r="J8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0" spans="1:10" x14ac:dyDescent="0.25">
      <c r="A820">
        <v>819</v>
      </c>
      <c r="B820" s="1">
        <v>45938.335474537002</v>
      </c>
      <c r="C820" s="1">
        <v>45938.336157407401</v>
      </c>
      <c r="D820" s="3" t="s">
        <v>20</v>
      </c>
      <c r="E820" s="3" t="s">
        <v>21</v>
      </c>
      <c r="F820" s="3"/>
      <c r="G820" s="2">
        <v>9067</v>
      </c>
      <c r="H820" s="2" t="str">
        <f>VLOOKUP(G820,Produtos!A:B,2,FALSE)</f>
        <v>ANTARCTICA PILSEN LATA 350ML SH C/12 NPA</v>
      </c>
      <c r="I820" s="3" t="s">
        <v>491</v>
      </c>
      <c r="J8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1" spans="1:10" x14ac:dyDescent="0.25">
      <c r="A821">
        <v>820</v>
      </c>
      <c r="B821" s="1">
        <v>45938.337500000001</v>
      </c>
      <c r="C821" s="1">
        <v>45938.338310185201</v>
      </c>
      <c r="D821" s="3" t="s">
        <v>20</v>
      </c>
      <c r="E821" s="3" t="s">
        <v>34</v>
      </c>
      <c r="F821" s="3"/>
      <c r="G821" s="2">
        <v>2349</v>
      </c>
      <c r="H821" s="2" t="str">
        <f>VLOOKUP(G821,Produtos!A:B,2,FALSE)</f>
        <v>GUARANA CHP ANTARCTICA PET 2L CAIXA C/6</v>
      </c>
      <c r="I821" s="3" t="s">
        <v>496</v>
      </c>
      <c r="J8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2" spans="1:10" x14ac:dyDescent="0.25">
      <c r="A822">
        <v>821</v>
      </c>
      <c r="B822" s="1">
        <v>45938.3808333333</v>
      </c>
      <c r="C822" s="1">
        <v>45938.385879629597</v>
      </c>
      <c r="D822" s="3" t="s">
        <v>18</v>
      </c>
      <c r="E822" s="3" t="s">
        <v>24</v>
      </c>
      <c r="F822" s="3"/>
      <c r="G822" s="2">
        <v>12948</v>
      </c>
      <c r="H822" s="2" t="str">
        <f>VLOOKUP(G822,Produtos!A:B,2,FALSE)</f>
        <v>BRAHMA CHOPP ZERO LATA 350 SH CX C12 NPA</v>
      </c>
      <c r="I822" s="3" t="s">
        <v>493</v>
      </c>
      <c r="J8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3" spans="1:10" x14ac:dyDescent="0.25">
      <c r="A823">
        <v>822</v>
      </c>
      <c r="B823" s="1">
        <v>45938.670520833301</v>
      </c>
      <c r="C823" s="1">
        <v>45938.677083333299</v>
      </c>
      <c r="D823" s="3" t="s">
        <v>32</v>
      </c>
      <c r="E823" s="3" t="s">
        <v>16</v>
      </c>
      <c r="F823" s="3"/>
      <c r="G823" s="2">
        <v>23450</v>
      </c>
      <c r="H823" s="2" t="str">
        <f>VLOOKUP(G823,Produtos!A:B,2,FALSE)</f>
        <v>MIKES HARD LEM PITAIA N LT269ML SH12</v>
      </c>
      <c r="I823" s="3"/>
      <c r="J8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4" spans="1:10" x14ac:dyDescent="0.25">
      <c r="A824">
        <v>823</v>
      </c>
      <c r="B824" s="1">
        <v>45939.355115740698</v>
      </c>
      <c r="C824" s="1">
        <v>45939.355775463002</v>
      </c>
      <c r="D824" s="3" t="s">
        <v>20</v>
      </c>
      <c r="E824" s="3" t="s">
        <v>26</v>
      </c>
      <c r="F824" s="3"/>
      <c r="G824" s="2">
        <v>9320</v>
      </c>
      <c r="H824" s="2" t="str">
        <f>VLOOKUP(G824,Produtos!A:B,2,FALSE)</f>
        <v>BRAHMA CHOPP LT 473ML SH C/12 NPAL</v>
      </c>
      <c r="I824" s="3" t="s">
        <v>491</v>
      </c>
      <c r="J8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5" spans="1:10" x14ac:dyDescent="0.25">
      <c r="A825">
        <v>824</v>
      </c>
      <c r="B825" s="1">
        <v>45939.356180555602</v>
      </c>
      <c r="C825" s="1">
        <v>45939.356689814798</v>
      </c>
      <c r="D825" s="3" t="s">
        <v>20</v>
      </c>
      <c r="E825" s="3" t="s">
        <v>21</v>
      </c>
      <c r="F825" s="3"/>
      <c r="G825" s="2">
        <v>9085</v>
      </c>
      <c r="H825" s="2" t="str">
        <f>VLOOKUP(G825,Produtos!A:B,2,FALSE)</f>
        <v>GUARANA CHP ANTARCT DIET LT350ML SHC/12</v>
      </c>
      <c r="I825" s="3" t="s">
        <v>491</v>
      </c>
      <c r="J8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6" spans="1:10" x14ac:dyDescent="0.25">
      <c r="A826">
        <v>825</v>
      </c>
      <c r="B826" s="1">
        <v>45939.400810185201</v>
      </c>
      <c r="C826" s="1">
        <v>45939.401446759301</v>
      </c>
      <c r="D826" s="3" t="s">
        <v>20</v>
      </c>
      <c r="E826" s="3" t="s">
        <v>24</v>
      </c>
      <c r="F826" s="3"/>
      <c r="G826" s="2">
        <v>9081</v>
      </c>
      <c r="H826" s="2" t="str">
        <f>VLOOKUP(G826,Produtos!A:B,2,FALSE)</f>
        <v>MALZBIER BRAHMA LATA 350ML SH C/12 NPAL</v>
      </c>
      <c r="I826" s="3" t="s">
        <v>491</v>
      </c>
      <c r="J8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7" spans="1:10" x14ac:dyDescent="0.25">
      <c r="A827">
        <v>826</v>
      </c>
      <c r="B827" s="1">
        <v>45939.404606481497</v>
      </c>
      <c r="C827" s="1">
        <v>45939.4051736111</v>
      </c>
      <c r="D827" s="3" t="s">
        <v>20</v>
      </c>
      <c r="E827" s="3" t="s">
        <v>21</v>
      </c>
      <c r="F827" s="3"/>
      <c r="G827" s="2">
        <v>9071</v>
      </c>
      <c r="H827" s="2" t="str">
        <f>VLOOKUP(G827,Produtos!A:B,2,FALSE)</f>
        <v>CARACU LATA 350ML SH C/12 NPAL</v>
      </c>
      <c r="I827" s="3" t="s">
        <v>491</v>
      </c>
      <c r="J8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8" spans="1:10" x14ac:dyDescent="0.25">
      <c r="A828">
        <v>827</v>
      </c>
      <c r="B828" s="1">
        <v>45939.4058912037</v>
      </c>
      <c r="C828" s="1">
        <v>45939.4067939815</v>
      </c>
      <c r="D828" s="3" t="s">
        <v>20</v>
      </c>
      <c r="E828" s="3" t="s">
        <v>26</v>
      </c>
      <c r="F828" s="3"/>
      <c r="G828" s="2">
        <v>9069</v>
      </c>
      <c r="H828" s="2" t="str">
        <f>VLOOKUP(G828,Produtos!A:B,2,FALSE)</f>
        <v>BRAHMA CHOPP LATA 350ML SH C/12 NPAL</v>
      </c>
      <c r="I828" s="3" t="s">
        <v>491</v>
      </c>
      <c r="J8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29" spans="1:10" x14ac:dyDescent="0.25">
      <c r="A829">
        <v>828</v>
      </c>
      <c r="B829" s="1">
        <v>45940.3933680556</v>
      </c>
      <c r="C829" s="1">
        <v>45940.393807870401</v>
      </c>
      <c r="D829" s="3" t="s">
        <v>20</v>
      </c>
      <c r="E829" s="3" t="s">
        <v>24</v>
      </c>
      <c r="F829" s="3"/>
      <c r="G829" s="2">
        <v>9320</v>
      </c>
      <c r="H829" s="2" t="str">
        <f>VLOOKUP(G829,Produtos!A:B,2,FALSE)</f>
        <v>BRAHMA CHOPP LT 473ML SH C/12 NPAL</v>
      </c>
      <c r="I829" s="3" t="s">
        <v>491</v>
      </c>
      <c r="J8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0" spans="1:10" x14ac:dyDescent="0.25">
      <c r="A830">
        <v>829</v>
      </c>
      <c r="B830" s="1">
        <v>45940.394155092603</v>
      </c>
      <c r="C830" s="1">
        <v>45940.395162036999</v>
      </c>
      <c r="D830" s="3" t="s">
        <v>18</v>
      </c>
      <c r="E830" s="3" t="s">
        <v>24</v>
      </c>
      <c r="F830" s="3"/>
      <c r="G830" s="2">
        <v>34263</v>
      </c>
      <c r="H830" s="2" t="str">
        <f>VLOOKUP(G830,Produtos!A:B,2,FALSE)</f>
        <v>CORONA CERO SUN N LT SL 350ML C8 CX CART</v>
      </c>
      <c r="I830" s="3" t="s">
        <v>493</v>
      </c>
      <c r="J8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1" spans="1:10" x14ac:dyDescent="0.25">
      <c r="A831">
        <v>830</v>
      </c>
      <c r="B831" s="1">
        <v>45940.4312615741</v>
      </c>
      <c r="C831" s="1">
        <v>45940.431817129604</v>
      </c>
      <c r="D831" s="3" t="s">
        <v>20</v>
      </c>
      <c r="E831" s="3" t="s">
        <v>24</v>
      </c>
      <c r="F831" s="3"/>
      <c r="G831" s="2">
        <v>20651</v>
      </c>
      <c r="H831" s="2" t="str">
        <f>VLOOKUP(G831,Produtos!A:B,2,FALSE)</f>
        <v>CORONA N LT SLEEK 350ML CX 8</v>
      </c>
      <c r="I831" s="3" t="s">
        <v>491</v>
      </c>
      <c r="J8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2" spans="1:10" x14ac:dyDescent="0.25">
      <c r="A832">
        <v>831</v>
      </c>
      <c r="B832" s="1">
        <v>45940.433229166701</v>
      </c>
      <c r="C832" s="1">
        <v>45940.433854166702</v>
      </c>
      <c r="D832" s="3" t="s">
        <v>20</v>
      </c>
      <c r="E832" s="3" t="s">
        <v>24</v>
      </c>
      <c r="F832" s="3"/>
      <c r="G832" s="2">
        <v>9084</v>
      </c>
      <c r="H832" s="2" t="str">
        <f>VLOOKUP(G832,Produtos!A:B,2,FALSE)</f>
        <v>GUARANA CHP ANTARCT LT350ML SH C/12 NPAL</v>
      </c>
      <c r="I832" s="3" t="s">
        <v>491</v>
      </c>
      <c r="J8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3" spans="1:10" x14ac:dyDescent="0.25">
      <c r="A833">
        <v>832</v>
      </c>
      <c r="B833" s="1">
        <v>45941.265833333302</v>
      </c>
      <c r="C833" s="1">
        <v>45941.266423611101</v>
      </c>
      <c r="D833" s="3" t="s">
        <v>20</v>
      </c>
      <c r="E833" s="3" t="s">
        <v>24</v>
      </c>
      <c r="F833" s="3"/>
      <c r="G833" s="2">
        <v>19310</v>
      </c>
      <c r="H833" s="2" t="str">
        <f>VLOOKUP(G833,Produtos!A:B,2,FALSE)</f>
        <v>ORIGINAL LATA 350ML CX CARTAO C/12 NPAL</v>
      </c>
      <c r="I833" s="3" t="s">
        <v>491</v>
      </c>
      <c r="J8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4" spans="1:10" x14ac:dyDescent="0.25">
      <c r="A834">
        <v>833</v>
      </c>
      <c r="B834" s="1">
        <v>45941.267592592601</v>
      </c>
      <c r="C834" s="1">
        <v>45941.268564814804</v>
      </c>
      <c r="D834" s="3" t="s">
        <v>18</v>
      </c>
      <c r="E834" s="3" t="s">
        <v>24</v>
      </c>
      <c r="F834" s="3"/>
      <c r="G834" s="2">
        <v>9320</v>
      </c>
      <c r="H834" s="2" t="str">
        <f>VLOOKUP(G834,Produtos!A:B,2,FALSE)</f>
        <v>BRAHMA CHOPP LT 473ML SH C/12 NPAL</v>
      </c>
      <c r="I834" s="3" t="s">
        <v>493</v>
      </c>
      <c r="J8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5" spans="1:10" x14ac:dyDescent="0.25">
      <c r="A835">
        <v>834</v>
      </c>
      <c r="B835" s="1">
        <v>45941.2819675926</v>
      </c>
      <c r="C835" s="1">
        <v>45941.282523148097</v>
      </c>
      <c r="D835" s="3" t="s">
        <v>18</v>
      </c>
      <c r="E835" s="3" t="s">
        <v>26</v>
      </c>
      <c r="F835" s="3"/>
      <c r="G835" s="2">
        <v>29580</v>
      </c>
      <c r="H835" s="2" t="str">
        <f>VLOOKUP(G835,Produtos!A:B,2,FALSE)</f>
        <v>STELLA ARTOIS PURE GOLD LN 330 SXP SH C4</v>
      </c>
      <c r="I835" s="3" t="s">
        <v>493</v>
      </c>
      <c r="J8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6" spans="1:10" x14ac:dyDescent="0.25">
      <c r="A836">
        <v>835</v>
      </c>
      <c r="B836" s="1">
        <v>45941.282002314802</v>
      </c>
      <c r="C836" s="1">
        <v>45941.2825578704</v>
      </c>
      <c r="D836" s="3" t="s">
        <v>20</v>
      </c>
      <c r="E836" s="3" t="s">
        <v>24</v>
      </c>
      <c r="F836" s="3"/>
      <c r="G836" s="2">
        <v>29580</v>
      </c>
      <c r="H836" s="2" t="str">
        <f>VLOOKUP(G836,Produtos!A:B,2,FALSE)</f>
        <v>STELLA ARTOIS PURE GOLD LN 330 SXP SH C4</v>
      </c>
      <c r="I836" s="3" t="s">
        <v>503</v>
      </c>
      <c r="J8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7" spans="1:10" x14ac:dyDescent="0.25">
      <c r="A837">
        <v>836</v>
      </c>
      <c r="B837" s="1">
        <v>45941.515104166698</v>
      </c>
      <c r="C837" s="1">
        <v>45941.516041666699</v>
      </c>
      <c r="D837" s="3" t="s">
        <v>8</v>
      </c>
      <c r="E837" s="3" t="s">
        <v>19</v>
      </c>
      <c r="F837" s="3"/>
      <c r="G837" s="3"/>
      <c r="H837" s="3" t="e">
        <f>VLOOKUP(G837,Produtos!A:B,2,FALSE)</f>
        <v>#N/A</v>
      </c>
      <c r="I837" s="3" t="s">
        <v>498</v>
      </c>
      <c r="J8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8" spans="1:10" x14ac:dyDescent="0.25">
      <c r="A838">
        <v>837</v>
      </c>
      <c r="B838" s="1">
        <v>45943.369398148097</v>
      </c>
      <c r="C838" s="1">
        <v>45943.370092592602</v>
      </c>
      <c r="D838" s="3" t="s">
        <v>20</v>
      </c>
      <c r="E838" s="3" t="s">
        <v>24</v>
      </c>
      <c r="F838" s="3"/>
      <c r="G838" s="2">
        <v>9071</v>
      </c>
      <c r="H838" s="2" t="str">
        <f>VLOOKUP(G838,Produtos!A:B,2,FALSE)</f>
        <v>CARACU LATA 350ML SH C/12 NPAL</v>
      </c>
      <c r="I838" s="3" t="s">
        <v>491</v>
      </c>
      <c r="J8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39" spans="1:10" x14ac:dyDescent="0.25">
      <c r="A839">
        <v>838</v>
      </c>
      <c r="B839" s="1">
        <v>45943.398125</v>
      </c>
      <c r="C839" s="1">
        <v>45943.398726851803</v>
      </c>
      <c r="D839" s="3" t="s">
        <v>20</v>
      </c>
      <c r="E839" s="3" t="s">
        <v>24</v>
      </c>
      <c r="F839" s="3"/>
      <c r="G839" s="2">
        <v>9274</v>
      </c>
      <c r="H839" s="2" t="str">
        <f>VLOOKUP(G839,Produtos!A:B,2,FALSE)</f>
        <v>PEPSI ZERO LATA 350ML SH C/12 NPAL</v>
      </c>
      <c r="I839" s="3" t="s">
        <v>491</v>
      </c>
      <c r="J8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0" spans="1:10" x14ac:dyDescent="0.25">
      <c r="A840">
        <v>839</v>
      </c>
      <c r="B840" s="1">
        <v>45943.398449074099</v>
      </c>
      <c r="C840" s="1">
        <v>45943.399004629602</v>
      </c>
      <c r="D840" s="3" t="s">
        <v>18</v>
      </c>
      <c r="E840" s="3" t="s">
        <v>24</v>
      </c>
      <c r="F840" s="3"/>
      <c r="G840" s="2">
        <v>19310</v>
      </c>
      <c r="H840" s="2" t="str">
        <f>VLOOKUP(G840,Produtos!A:B,2,FALSE)</f>
        <v>ORIGINAL LATA 350ML CX CARTAO C/12 NPAL</v>
      </c>
      <c r="I840" s="3" t="s">
        <v>493</v>
      </c>
      <c r="J8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1" spans="1:10" x14ac:dyDescent="0.25">
      <c r="A841">
        <v>840</v>
      </c>
      <c r="B841" s="1">
        <v>45943.399027777799</v>
      </c>
      <c r="C841" s="1">
        <v>45943.399618055599</v>
      </c>
      <c r="D841" s="3" t="s">
        <v>18</v>
      </c>
      <c r="E841" s="3" t="s">
        <v>24</v>
      </c>
      <c r="F841" s="3"/>
      <c r="G841" s="2">
        <v>9274</v>
      </c>
      <c r="H841" s="2" t="str">
        <f>VLOOKUP(G841,Produtos!A:B,2,FALSE)</f>
        <v>PEPSI ZERO LATA 350ML SH C/12 NPAL</v>
      </c>
      <c r="I841" s="3" t="s">
        <v>493</v>
      </c>
      <c r="J8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2" spans="1:10" x14ac:dyDescent="0.25">
      <c r="A842">
        <v>841</v>
      </c>
      <c r="B842" s="1">
        <v>45943.401018518503</v>
      </c>
      <c r="C842" s="1">
        <v>45943.401562500003</v>
      </c>
      <c r="D842" s="3" t="s">
        <v>20</v>
      </c>
      <c r="E842" s="3" t="s">
        <v>24</v>
      </c>
      <c r="F842" s="3"/>
      <c r="G842" s="2">
        <v>33818</v>
      </c>
      <c r="H842" s="2" t="str">
        <f>VLOOKUP(G842,Produtos!A:B,2,FALSE)</f>
        <v>ORIGINAL LT 350ML SH C/12 NP MULTIPACK</v>
      </c>
      <c r="I842" s="3" t="s">
        <v>494</v>
      </c>
      <c r="J8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3" spans="1:10" x14ac:dyDescent="0.25">
      <c r="A843">
        <v>842</v>
      </c>
      <c r="B843" s="1">
        <v>45943.934583333299</v>
      </c>
      <c r="C843" s="1">
        <v>45943.9352083333</v>
      </c>
      <c r="D843" s="3" t="s">
        <v>22</v>
      </c>
      <c r="E843" s="3" t="s">
        <v>19</v>
      </c>
      <c r="F843" s="3"/>
      <c r="G843" s="3"/>
      <c r="H843" s="3" t="e">
        <f>VLOOKUP(G843,Produtos!A:B,2,FALSE)</f>
        <v>#N/A</v>
      </c>
      <c r="I843" s="3" t="s">
        <v>497</v>
      </c>
      <c r="J8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4" spans="1:10" x14ac:dyDescent="0.25">
      <c r="A844">
        <v>843</v>
      </c>
      <c r="B844" s="1">
        <v>45944.365960648101</v>
      </c>
      <c r="C844" s="1">
        <v>45944.366678240702</v>
      </c>
      <c r="D844" s="3" t="s">
        <v>20</v>
      </c>
      <c r="E844" s="3" t="s">
        <v>24</v>
      </c>
      <c r="F844" s="3"/>
      <c r="G844" s="2">
        <v>8411</v>
      </c>
      <c r="H844" s="2" t="str">
        <f>VLOOKUP(G844,Produtos!A:B,2,FALSE)</f>
        <v>GUARANA CHP ANTARCTICA PET 1,5L SH C/6</v>
      </c>
      <c r="I844" s="3" t="s">
        <v>496</v>
      </c>
      <c r="J8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5" spans="1:10" x14ac:dyDescent="0.25">
      <c r="A845">
        <v>844</v>
      </c>
      <c r="B845" s="1">
        <v>45944.3674537037</v>
      </c>
      <c r="C845" s="1">
        <v>45944.368125000001</v>
      </c>
      <c r="D845" s="3" t="s">
        <v>20</v>
      </c>
      <c r="E845" s="3" t="s">
        <v>34</v>
      </c>
      <c r="F845" s="3"/>
      <c r="G845" s="2">
        <v>9071</v>
      </c>
      <c r="H845" s="2" t="str">
        <f>VLOOKUP(G845,Produtos!A:B,2,FALSE)</f>
        <v>CARACU LATA 350ML SH C/12 NPAL</v>
      </c>
      <c r="I845" s="3" t="s">
        <v>491</v>
      </c>
      <c r="J8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6" spans="1:10" x14ac:dyDescent="0.25">
      <c r="A846">
        <v>845</v>
      </c>
      <c r="B846" s="1">
        <v>45944.3680902778</v>
      </c>
      <c r="C846" s="1">
        <v>45944.368726851797</v>
      </c>
      <c r="D846" s="3" t="s">
        <v>18</v>
      </c>
      <c r="E846" s="3" t="s">
        <v>24</v>
      </c>
      <c r="F846" s="3"/>
      <c r="G846" s="2">
        <v>1164</v>
      </c>
      <c r="H846" s="2" t="str">
        <f>VLOOKUP(G846,Produtos!A:B,2,FALSE)</f>
        <v>SUKITA UVA LATA 350ML SH C/12 NPAL</v>
      </c>
      <c r="I846" s="3" t="s">
        <v>493</v>
      </c>
      <c r="J8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7" spans="1:10" x14ac:dyDescent="0.25">
      <c r="A847">
        <v>846</v>
      </c>
      <c r="B847" s="1">
        <v>45944.3687615741</v>
      </c>
      <c r="C847" s="1">
        <v>45944.369398148097</v>
      </c>
      <c r="D847" s="3" t="s">
        <v>18</v>
      </c>
      <c r="E847" s="3" t="s">
        <v>24</v>
      </c>
      <c r="F847" s="3"/>
      <c r="G847" s="2">
        <v>9071</v>
      </c>
      <c r="H847" s="2" t="str">
        <f>VLOOKUP(G847,Produtos!A:B,2,FALSE)</f>
        <v>CARACU LATA 350ML SH C/12 NPAL</v>
      </c>
      <c r="I847" s="3" t="s">
        <v>493</v>
      </c>
      <c r="J8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8" spans="1:10" x14ac:dyDescent="0.25">
      <c r="A848">
        <v>847</v>
      </c>
      <c r="B848" s="1">
        <v>45944.369328703702</v>
      </c>
      <c r="C848" s="1">
        <v>45944.369942129597</v>
      </c>
      <c r="D848" s="3" t="s">
        <v>20</v>
      </c>
      <c r="E848" s="3" t="s">
        <v>24</v>
      </c>
      <c r="F848" s="3"/>
      <c r="G848" s="2">
        <v>9084</v>
      </c>
      <c r="H848" s="2" t="str">
        <f>VLOOKUP(G848,Produtos!A:B,2,FALSE)</f>
        <v>GUARANA CHP ANTARCT LT350ML SH C/12 NPAL</v>
      </c>
      <c r="I848" s="3" t="s">
        <v>491</v>
      </c>
      <c r="J8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49" spans="1:10" x14ac:dyDescent="0.25">
      <c r="A849">
        <v>848</v>
      </c>
      <c r="B849" s="1">
        <v>45944.369965277801</v>
      </c>
      <c r="C849" s="1">
        <v>45944.371226851901</v>
      </c>
      <c r="D849" s="3" t="s">
        <v>18</v>
      </c>
      <c r="E849" s="3" t="s">
        <v>24</v>
      </c>
      <c r="F849" s="3"/>
      <c r="G849" s="2">
        <v>9072</v>
      </c>
      <c r="H849" s="2" t="str">
        <f>VLOOKUP(G849,Produtos!A:B,2,FALSE)</f>
        <v>BOHEMIA NOVA EMBAL LT 350ML SH C/12 NPAL</v>
      </c>
      <c r="I849" s="3" t="s">
        <v>493</v>
      </c>
      <c r="J8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0" spans="1:10" x14ac:dyDescent="0.25">
      <c r="A850">
        <v>849</v>
      </c>
      <c r="B850" s="1">
        <v>45944.373668981498</v>
      </c>
      <c r="C850" s="1">
        <v>45944.374398148102</v>
      </c>
      <c r="D850" s="3" t="s">
        <v>20</v>
      </c>
      <c r="E850" s="3" t="s">
        <v>21</v>
      </c>
      <c r="F850" s="3"/>
      <c r="G850" s="2">
        <v>9067</v>
      </c>
      <c r="H850" s="2" t="str">
        <f>VLOOKUP(G850,Produtos!A:B,2,FALSE)</f>
        <v>ANTARCTICA PILSEN LATA 350ML SH C/12 NPA</v>
      </c>
      <c r="I850" s="3" t="s">
        <v>491</v>
      </c>
      <c r="J8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1" spans="1:10" x14ac:dyDescent="0.25">
      <c r="A851">
        <v>850</v>
      </c>
      <c r="B851" s="1">
        <v>45944.374837962998</v>
      </c>
      <c r="C851" s="1">
        <v>45944.375347222202</v>
      </c>
      <c r="D851" s="3" t="s">
        <v>18</v>
      </c>
      <c r="E851" s="3" t="s">
        <v>21</v>
      </c>
      <c r="F851" s="3"/>
      <c r="G851" s="2">
        <v>35113</v>
      </c>
      <c r="H851" s="2" t="e">
        <f>VLOOKUP(G851,Produtos!A:B,2,FALSE)</f>
        <v>#N/A</v>
      </c>
      <c r="I851" s="3" t="s">
        <v>493</v>
      </c>
      <c r="J8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2" spans="1:10" x14ac:dyDescent="0.25">
      <c r="A852">
        <v>851</v>
      </c>
      <c r="B852" s="1">
        <v>45944.375057870398</v>
      </c>
      <c r="C852" s="1">
        <v>45944.375532407401</v>
      </c>
      <c r="D852" s="3" t="s">
        <v>20</v>
      </c>
      <c r="E852" s="3" t="s">
        <v>21</v>
      </c>
      <c r="F852" s="3"/>
      <c r="G852" s="2">
        <v>12948</v>
      </c>
      <c r="H852" s="2" t="str">
        <f>VLOOKUP(G852,Produtos!A:B,2,FALSE)</f>
        <v>BRAHMA CHOPP ZERO LATA 350 SH CX C12 NPA</v>
      </c>
      <c r="I852" s="3" t="s">
        <v>491</v>
      </c>
      <c r="J85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3" spans="1:10" x14ac:dyDescent="0.25">
      <c r="A853">
        <v>852</v>
      </c>
      <c r="B853" s="1">
        <v>45944.377199074101</v>
      </c>
      <c r="C853" s="1">
        <v>45944.377719907403</v>
      </c>
      <c r="D853" s="3" t="s">
        <v>20</v>
      </c>
      <c r="E853" s="3" t="s">
        <v>21</v>
      </c>
      <c r="F853" s="3"/>
      <c r="G853" s="2">
        <v>9069</v>
      </c>
      <c r="H853" s="2" t="str">
        <f>VLOOKUP(G853,Produtos!A:B,2,FALSE)</f>
        <v>BRAHMA CHOPP LATA 350ML SH C/12 NPAL</v>
      </c>
      <c r="I853" s="3" t="s">
        <v>491</v>
      </c>
      <c r="J85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4" spans="1:10" x14ac:dyDescent="0.25">
      <c r="A854">
        <v>853</v>
      </c>
      <c r="B854" s="1">
        <v>45944.380462963003</v>
      </c>
      <c r="C854" s="1">
        <v>45944.381006944401</v>
      </c>
      <c r="D854" s="3" t="s">
        <v>18</v>
      </c>
      <c r="E854" s="3" t="s">
        <v>24</v>
      </c>
      <c r="F854" s="3"/>
      <c r="G854" s="2">
        <v>9084</v>
      </c>
      <c r="H854" s="2" t="str">
        <f>VLOOKUP(G854,Produtos!A:B,2,FALSE)</f>
        <v>GUARANA CHP ANTARCT LT350ML SH C/12 NPAL</v>
      </c>
      <c r="I854" s="3" t="s">
        <v>493</v>
      </c>
      <c r="J85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5" spans="1:10" x14ac:dyDescent="0.25">
      <c r="A855">
        <v>854</v>
      </c>
      <c r="B855" s="1">
        <v>45944.381585648101</v>
      </c>
      <c r="C855" s="1">
        <v>45944.382175925901</v>
      </c>
      <c r="D855" s="3" t="s">
        <v>20</v>
      </c>
      <c r="E855" s="3" t="s">
        <v>24</v>
      </c>
      <c r="F855" s="3"/>
      <c r="G855" s="2">
        <v>9092</v>
      </c>
      <c r="H855" s="2" t="str">
        <f>VLOOKUP(G855,Produtos!A:B,2,FALSE)</f>
        <v>TONICA ANTARCTICA DIET LT350MLSHC/12 PAL</v>
      </c>
      <c r="I855" s="3" t="s">
        <v>491</v>
      </c>
      <c r="J85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6" spans="1:10" x14ac:dyDescent="0.25">
      <c r="A856">
        <v>855</v>
      </c>
      <c r="B856" s="1">
        <v>45945.324780092596</v>
      </c>
      <c r="C856" s="1">
        <v>45945.325231481504</v>
      </c>
      <c r="D856" s="3" t="s">
        <v>20</v>
      </c>
      <c r="E856" s="3" t="s">
        <v>24</v>
      </c>
      <c r="F856" s="3"/>
      <c r="G856" s="2">
        <v>1164</v>
      </c>
      <c r="H856" s="2" t="str">
        <f>VLOOKUP(G856,Produtos!A:B,2,FALSE)</f>
        <v>SUKITA UVA LATA 350ML SH C/12 NPAL</v>
      </c>
      <c r="I856" s="3" t="s">
        <v>491</v>
      </c>
      <c r="J85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7" spans="1:10" x14ac:dyDescent="0.25">
      <c r="A857">
        <v>856</v>
      </c>
      <c r="B857" s="1">
        <v>45945.324780092596</v>
      </c>
      <c r="C857" s="1">
        <v>45945.3253819444</v>
      </c>
      <c r="D857" s="3" t="s">
        <v>18</v>
      </c>
      <c r="E857" s="3" t="s">
        <v>24</v>
      </c>
      <c r="F857" s="3"/>
      <c r="G857" s="2">
        <v>30942</v>
      </c>
      <c r="H857" s="2" t="str">
        <f>VLOOKUP(G857,Produtos!A:B,2,FALSE)</f>
        <v>SPATEN N LONG NECK 330ML SIX-PACK SH C4</v>
      </c>
      <c r="I857" s="3" t="s">
        <v>493</v>
      </c>
      <c r="J85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8" spans="1:10" x14ac:dyDescent="0.25">
      <c r="A858">
        <v>857</v>
      </c>
      <c r="B858" s="1">
        <v>45945.326087963003</v>
      </c>
      <c r="C858" s="1">
        <v>45945.326724537001</v>
      </c>
      <c r="D858" s="3" t="s">
        <v>18</v>
      </c>
      <c r="E858" s="3" t="s">
        <v>24</v>
      </c>
      <c r="F858" s="3"/>
      <c r="G858" s="2">
        <v>22180</v>
      </c>
      <c r="H858" s="2" t="str">
        <f>VLOOKUP(G858,Produtos!A:B,2,FALSE)</f>
        <v>BUDWEISER ZERO LN 330ML SIX-PACK SH C/4</v>
      </c>
      <c r="I858" s="3" t="s">
        <v>493</v>
      </c>
      <c r="J85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59" spans="1:10" x14ac:dyDescent="0.25">
      <c r="A859">
        <v>858</v>
      </c>
      <c r="B859" s="1">
        <v>45945.328136574099</v>
      </c>
      <c r="C859" s="1">
        <v>45945.329039351796</v>
      </c>
      <c r="D859" s="3" t="s">
        <v>20</v>
      </c>
      <c r="E859" s="3" t="s">
        <v>24</v>
      </c>
      <c r="F859" s="3"/>
      <c r="G859" s="2">
        <v>9069</v>
      </c>
      <c r="H859" s="2" t="str">
        <f>VLOOKUP(G859,Produtos!A:B,2,FALSE)</f>
        <v>BRAHMA CHOPP LATA 350ML SH C/12 NPAL</v>
      </c>
      <c r="I859" s="3" t="s">
        <v>491</v>
      </c>
      <c r="J85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0" spans="1:10" x14ac:dyDescent="0.25">
      <c r="A860">
        <v>859</v>
      </c>
      <c r="B860" s="1">
        <v>45945.331307870401</v>
      </c>
      <c r="C860" s="1">
        <v>45945.332037036998</v>
      </c>
      <c r="D860" s="3" t="s">
        <v>20</v>
      </c>
      <c r="E860" s="3" t="s">
        <v>21</v>
      </c>
      <c r="F860" s="3"/>
      <c r="G860" s="2">
        <v>9067</v>
      </c>
      <c r="H860" s="2" t="str">
        <f>VLOOKUP(G860,Produtos!A:B,2,FALSE)</f>
        <v>ANTARCTICA PILSEN LATA 350ML SH C/12 NPA</v>
      </c>
      <c r="I860" s="3" t="s">
        <v>491</v>
      </c>
      <c r="J86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1" spans="1:10" x14ac:dyDescent="0.25">
      <c r="A861">
        <v>860</v>
      </c>
      <c r="B861" s="1">
        <v>45945.331990740699</v>
      </c>
      <c r="C861" s="1">
        <v>45945.332731481503</v>
      </c>
      <c r="D861" s="3" t="s">
        <v>18</v>
      </c>
      <c r="E861" s="3" t="s">
        <v>34</v>
      </c>
      <c r="F861" s="3"/>
      <c r="G861" s="2">
        <v>21020</v>
      </c>
      <c r="H861" s="2" t="str">
        <f>VLOOKUP(G861,Produtos!A:B,2,FALSE)</f>
        <v>BUDWEISER LT SLEEK 350ML CX CART C12</v>
      </c>
      <c r="I861" s="3" t="s">
        <v>493</v>
      </c>
      <c r="J86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2" spans="1:10" x14ac:dyDescent="0.25">
      <c r="A862">
        <v>861</v>
      </c>
      <c r="B862" s="1">
        <v>45946.384421296301</v>
      </c>
      <c r="C862" s="1">
        <v>45946.385127314803</v>
      </c>
      <c r="D862" s="3" t="s">
        <v>18</v>
      </c>
      <c r="E862" s="3" t="s">
        <v>24</v>
      </c>
      <c r="F862" s="3"/>
      <c r="G862" s="2">
        <v>35320</v>
      </c>
      <c r="H862" s="2" t="e">
        <f>VLOOKUP(G862,Produtos!A:B,2,FALSE)</f>
        <v>#N/A</v>
      </c>
      <c r="I862" s="3" t="s">
        <v>491</v>
      </c>
      <c r="J86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3" spans="1:10" x14ac:dyDescent="0.25">
      <c r="A863">
        <v>862</v>
      </c>
      <c r="B863" s="1">
        <v>45946.385324074101</v>
      </c>
      <c r="C863" s="1">
        <v>45946.385879629597</v>
      </c>
      <c r="D863" s="3" t="s">
        <v>20</v>
      </c>
      <c r="E863" s="3" t="s">
        <v>24</v>
      </c>
      <c r="F863" s="3"/>
      <c r="G863" s="2">
        <v>17797</v>
      </c>
      <c r="H863" s="2" t="str">
        <f>VLOOKUP(G863,Produtos!A:B,2,FALSE)</f>
        <v>BRAHMA CHOPP LATA 350ML SH 18 MULTIPACK</v>
      </c>
      <c r="I863" s="3" t="s">
        <v>491</v>
      </c>
      <c r="J86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4" spans="1:10" x14ac:dyDescent="0.25">
      <c r="A864">
        <v>863</v>
      </c>
      <c r="B864" s="1">
        <v>45946.386215277802</v>
      </c>
      <c r="C864" s="1">
        <v>45946.386712963002</v>
      </c>
      <c r="D864" s="3" t="s">
        <v>20</v>
      </c>
      <c r="E864" s="3" t="s">
        <v>24</v>
      </c>
      <c r="F864" s="3"/>
      <c r="G864" s="2">
        <v>14135</v>
      </c>
      <c r="H864" s="2" t="str">
        <f>VLOOKUP(G864,Produtos!A:B,2,FALSE)</f>
        <v>BUDWEISER LT 473ML SIX-PACK SH C/2 NPAL</v>
      </c>
      <c r="I864" s="3" t="s">
        <v>491</v>
      </c>
      <c r="J86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5" spans="1:10" x14ac:dyDescent="0.25">
      <c r="A865">
        <v>864</v>
      </c>
      <c r="B865" s="1">
        <v>45946.387858796297</v>
      </c>
      <c r="C865" s="1">
        <v>45946.388599537</v>
      </c>
      <c r="D865" s="3" t="s">
        <v>20</v>
      </c>
      <c r="E865" s="3" t="s">
        <v>24</v>
      </c>
      <c r="F865" s="3"/>
      <c r="G865" s="2">
        <v>9085</v>
      </c>
      <c r="H865" s="2" t="str">
        <f>VLOOKUP(G865,Produtos!A:B,2,FALSE)</f>
        <v>GUARANA CHP ANTARCT DIET LT350ML SHC/12</v>
      </c>
      <c r="I865" s="3" t="s">
        <v>491</v>
      </c>
      <c r="J86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6" spans="1:10" x14ac:dyDescent="0.25">
      <c r="A866">
        <v>865</v>
      </c>
      <c r="B866" s="1">
        <v>45946.390023148102</v>
      </c>
      <c r="C866" s="1">
        <v>45946.3906712963</v>
      </c>
      <c r="D866" s="3" t="s">
        <v>20</v>
      </c>
      <c r="E866" s="3" t="s">
        <v>24</v>
      </c>
      <c r="F866" s="3"/>
      <c r="G866" s="2">
        <v>371</v>
      </c>
      <c r="H866" s="2" t="str">
        <f>VLOOKUP(G866,Produtos!A:B,2,FALSE)</f>
        <v>MALZBIER BRAHMA LN355ML SIX PAC BAND C/4</v>
      </c>
      <c r="I866" s="3" t="s">
        <v>503</v>
      </c>
      <c r="J86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7" spans="1:10" x14ac:dyDescent="0.25">
      <c r="A867">
        <v>866</v>
      </c>
      <c r="B867" s="1">
        <v>45947.372476851902</v>
      </c>
      <c r="C867" s="1">
        <v>45947.373275462996</v>
      </c>
      <c r="D867" s="3" t="s">
        <v>18</v>
      </c>
      <c r="E867" s="3" t="s">
        <v>24</v>
      </c>
      <c r="F867" s="3"/>
      <c r="G867" s="2">
        <v>29580</v>
      </c>
      <c r="H867" s="2" t="str">
        <f>VLOOKUP(G867,Produtos!A:B,2,FALSE)</f>
        <v>STELLA ARTOIS PURE GOLD LN 330 SXP SH C4</v>
      </c>
      <c r="I867" s="3" t="s">
        <v>493</v>
      </c>
      <c r="J86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8" spans="1:10" x14ac:dyDescent="0.25">
      <c r="A868">
        <v>867</v>
      </c>
      <c r="B868" s="1">
        <v>45947.374398148102</v>
      </c>
      <c r="C868" s="1">
        <v>45947.374872685199</v>
      </c>
      <c r="D868" s="3" t="s">
        <v>20</v>
      </c>
      <c r="E868" s="3" t="s">
        <v>24</v>
      </c>
      <c r="F868" s="3"/>
      <c r="G868" s="2">
        <v>19310</v>
      </c>
      <c r="H868" s="2" t="str">
        <f>VLOOKUP(G868,Produtos!A:B,2,FALSE)</f>
        <v>ORIGINAL LATA 350ML CX CARTAO C/12 NPAL</v>
      </c>
      <c r="I868" s="3" t="s">
        <v>491</v>
      </c>
      <c r="J86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69" spans="1:10" x14ac:dyDescent="0.25">
      <c r="A869">
        <v>868</v>
      </c>
      <c r="B869" s="1">
        <v>45947.375937500001</v>
      </c>
      <c r="C869" s="1">
        <v>45947.376643518503</v>
      </c>
      <c r="D869" s="3" t="s">
        <v>20</v>
      </c>
      <c r="E869" s="3" t="s">
        <v>26</v>
      </c>
      <c r="F869" s="3"/>
      <c r="G869" s="2">
        <v>14135</v>
      </c>
      <c r="H869" s="2" t="str">
        <f>VLOOKUP(G869,Produtos!A:B,2,FALSE)</f>
        <v>BUDWEISER LT 473ML SIX-PACK SH C/2 NPAL</v>
      </c>
      <c r="I869" s="3" t="s">
        <v>491</v>
      </c>
      <c r="J86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0" spans="1:10" x14ac:dyDescent="0.25">
      <c r="A870">
        <v>869</v>
      </c>
      <c r="B870" s="1">
        <v>45947.378229166701</v>
      </c>
      <c r="C870" s="1">
        <v>45947.379062499997</v>
      </c>
      <c r="D870" s="3" t="s">
        <v>18</v>
      </c>
      <c r="E870" s="3" t="s">
        <v>24</v>
      </c>
      <c r="F870" s="3"/>
      <c r="G870" s="2">
        <v>25837</v>
      </c>
      <c r="H870" s="2" t="str">
        <f>VLOOKUP(G870,Produtos!A:B,2,FALSE)</f>
        <v>SPATEN LT 473ML CX CARTAO C/12</v>
      </c>
      <c r="I870" s="3" t="s">
        <v>493</v>
      </c>
      <c r="J87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1" spans="1:10" x14ac:dyDescent="0.25">
      <c r="A871">
        <v>870</v>
      </c>
      <c r="B871" s="1">
        <v>45947.380601851903</v>
      </c>
      <c r="C871" s="1">
        <v>45947.381307870397</v>
      </c>
      <c r="D871" s="3" t="s">
        <v>20</v>
      </c>
      <c r="E871" s="3" t="s">
        <v>26</v>
      </c>
      <c r="F871" s="3"/>
      <c r="G871" s="2">
        <v>9069</v>
      </c>
      <c r="H871" s="2" t="str">
        <f>VLOOKUP(G871,Produtos!A:B,2,FALSE)</f>
        <v>BRAHMA CHOPP LATA 350ML SH C/12 NPAL</v>
      </c>
      <c r="I871" s="3" t="s">
        <v>491</v>
      </c>
      <c r="J87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2" spans="1:10" x14ac:dyDescent="0.25">
      <c r="A872">
        <v>871</v>
      </c>
      <c r="B872" s="1">
        <v>45947.406122685199</v>
      </c>
      <c r="C872" s="1">
        <v>45947.4066087963</v>
      </c>
      <c r="D872" s="3" t="s">
        <v>20</v>
      </c>
      <c r="E872" s="3" t="s">
        <v>24</v>
      </c>
      <c r="F872" s="3"/>
      <c r="G872" s="2">
        <v>18341</v>
      </c>
      <c r="H872" s="2" t="str">
        <f>VLOOKUP(G872,Produtos!A:B,2,FALSE)</f>
        <v>PEPSI COLA PET 3000 ML C/04 SH LISO.</v>
      </c>
      <c r="I872" s="3" t="s">
        <v>491</v>
      </c>
      <c r="J87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3" spans="1:10" x14ac:dyDescent="0.25">
      <c r="A873">
        <v>872</v>
      </c>
      <c r="B873" s="1">
        <v>45948.537777777798</v>
      </c>
      <c r="C873" s="1">
        <v>45948.5385185185</v>
      </c>
      <c r="D873" s="3" t="s">
        <v>20</v>
      </c>
      <c r="E873" s="3" t="s">
        <v>21</v>
      </c>
      <c r="F873" s="3"/>
      <c r="G873" s="2">
        <v>12948</v>
      </c>
      <c r="H873" s="2" t="str">
        <f>VLOOKUP(G873,Produtos!A:B,2,FALSE)</f>
        <v>BRAHMA CHOPP ZERO LATA 350 SH CX C12 NPA</v>
      </c>
      <c r="I873" s="3" t="s">
        <v>491</v>
      </c>
      <c r="J87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4" spans="1:10" x14ac:dyDescent="0.25">
      <c r="A874">
        <v>873</v>
      </c>
      <c r="B874" s="1">
        <v>45948.539571759298</v>
      </c>
      <c r="C874" s="1">
        <v>45948.540358796301</v>
      </c>
      <c r="D874" s="3" t="s">
        <v>20</v>
      </c>
      <c r="E874" s="3" t="s">
        <v>24</v>
      </c>
      <c r="F874" s="3"/>
      <c r="G874" s="2">
        <v>34263</v>
      </c>
      <c r="H874" s="2" t="str">
        <f>VLOOKUP(G874,Produtos!A:B,2,FALSE)</f>
        <v>CORONA CERO SUN N LT SL 350ML C8 CX CART</v>
      </c>
      <c r="I874" s="3" t="s">
        <v>491</v>
      </c>
      <c r="J87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5" spans="1:10" x14ac:dyDescent="0.25">
      <c r="A875">
        <v>874</v>
      </c>
      <c r="B875" s="1">
        <v>45948.540833333303</v>
      </c>
      <c r="C875" s="1">
        <v>45948.541620370401</v>
      </c>
      <c r="D875" s="3" t="s">
        <v>20</v>
      </c>
      <c r="E875" s="3" t="s">
        <v>24</v>
      </c>
      <c r="F875" s="3"/>
      <c r="G875" s="2">
        <v>9085</v>
      </c>
      <c r="H875" s="2" t="str">
        <f>VLOOKUP(G875,Produtos!A:B,2,FALSE)</f>
        <v>GUARANA CHP ANTARCT DIET LT350ML SHC/12</v>
      </c>
      <c r="I875" s="3" t="s">
        <v>491</v>
      </c>
      <c r="J87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6" spans="1:10" x14ac:dyDescent="0.25">
      <c r="A876">
        <v>875</v>
      </c>
      <c r="B876" s="1">
        <v>45948.542916666702</v>
      </c>
      <c r="C876" s="1">
        <v>45948.543761574103</v>
      </c>
      <c r="D876" s="3" t="s">
        <v>20</v>
      </c>
      <c r="E876" s="3" t="s">
        <v>24</v>
      </c>
      <c r="F876" s="3"/>
      <c r="G876" s="2">
        <v>33734</v>
      </c>
      <c r="H876" s="2" t="str">
        <f>VLOOKUP(G876,Produtos!A:B,2,FALSE)</f>
        <v>BEATS RED MIX LT 269ML SH C/8</v>
      </c>
      <c r="I876" s="3" t="s">
        <v>491</v>
      </c>
      <c r="J87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7" spans="1:10" x14ac:dyDescent="0.25">
      <c r="A877">
        <v>876</v>
      </c>
      <c r="B877" s="1">
        <v>45950.345034722202</v>
      </c>
      <c r="C877" s="1">
        <v>45950.345902777801</v>
      </c>
      <c r="D877" s="3" t="s">
        <v>20</v>
      </c>
      <c r="E877" s="3" t="s">
        <v>24</v>
      </c>
      <c r="F877" s="3"/>
      <c r="G877" s="2">
        <v>9071</v>
      </c>
      <c r="H877" s="2" t="str">
        <f>VLOOKUP(G877,Produtos!A:B,2,FALSE)</f>
        <v>CARACU LATA 350ML SH C/12 NPAL</v>
      </c>
      <c r="I877" s="3" t="s">
        <v>491</v>
      </c>
      <c r="J87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8" spans="1:10" x14ac:dyDescent="0.25">
      <c r="A878">
        <v>877</v>
      </c>
      <c r="B878" s="1">
        <v>45950.367430555598</v>
      </c>
      <c r="C878" s="1">
        <v>45950.368078703701</v>
      </c>
      <c r="D878" s="3" t="s">
        <v>18</v>
      </c>
      <c r="E878" s="3" t="s">
        <v>26</v>
      </c>
      <c r="F878" s="3"/>
      <c r="G878" s="2">
        <v>29580</v>
      </c>
      <c r="H878" s="2" t="str">
        <f>VLOOKUP(G878,Produtos!A:B,2,FALSE)</f>
        <v>STELLA ARTOIS PURE GOLD LN 330 SXP SH C4</v>
      </c>
      <c r="I878" s="3" t="s">
        <v>493</v>
      </c>
      <c r="J87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79" spans="1:10" x14ac:dyDescent="0.25">
      <c r="A879">
        <v>878</v>
      </c>
      <c r="B879" s="1">
        <v>45950.3695717593</v>
      </c>
      <c r="C879" s="1">
        <v>45950.370428240698</v>
      </c>
      <c r="D879" s="3" t="s">
        <v>18</v>
      </c>
      <c r="E879" s="3" t="s">
        <v>34</v>
      </c>
      <c r="F879" s="3"/>
      <c r="G879" s="2">
        <v>17808</v>
      </c>
      <c r="H879" s="2" t="str">
        <f>VLOOKUP(G879,Produtos!A:B,2,FALSE)</f>
        <v>BUDWEISER OW 330ML CX C 24</v>
      </c>
      <c r="I879" s="3" t="s">
        <v>493</v>
      </c>
      <c r="J87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0" spans="1:10" x14ac:dyDescent="0.25">
      <c r="A880">
        <v>879</v>
      </c>
      <c r="B880" s="1">
        <v>45950.371030092603</v>
      </c>
      <c r="C880" s="1">
        <v>45950.371655092596</v>
      </c>
      <c r="D880" s="3" t="s">
        <v>20</v>
      </c>
      <c r="E880" s="3" t="s">
        <v>26</v>
      </c>
      <c r="F880" s="3"/>
      <c r="G880" s="2">
        <v>32500</v>
      </c>
      <c r="H880" s="2" t="str">
        <f>VLOOKUP(G880,Produtos!A:B,2,FALSE)</f>
        <v>STELLA ART PUR GOLD LT SL 350ML C8 CX CT</v>
      </c>
      <c r="I880" s="3" t="s">
        <v>491</v>
      </c>
      <c r="J88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1" spans="1:10" x14ac:dyDescent="0.25">
      <c r="A881">
        <v>880</v>
      </c>
      <c r="B881" s="1">
        <v>45950.371168981503</v>
      </c>
      <c r="C881" s="1">
        <v>45950.371759259302</v>
      </c>
      <c r="D881" s="3" t="s">
        <v>18</v>
      </c>
      <c r="E881" s="3" t="s">
        <v>24</v>
      </c>
      <c r="F881" s="3"/>
      <c r="G881" s="2">
        <v>9085</v>
      </c>
      <c r="H881" s="2" t="str">
        <f>VLOOKUP(G881,Produtos!A:B,2,FALSE)</f>
        <v>GUARANA CHP ANTARCT DIET LT350ML SHC/12</v>
      </c>
      <c r="I881" s="3" t="s">
        <v>493</v>
      </c>
      <c r="J88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2" spans="1:10" x14ac:dyDescent="0.25">
      <c r="A882">
        <v>881</v>
      </c>
      <c r="B882" s="1">
        <v>45950.371990740699</v>
      </c>
      <c r="C882" s="1">
        <v>45950.372662037</v>
      </c>
      <c r="D882" s="3" t="s">
        <v>20</v>
      </c>
      <c r="E882" s="3" t="s">
        <v>26</v>
      </c>
      <c r="F882" s="3"/>
      <c r="G882" s="2">
        <v>2349</v>
      </c>
      <c r="H882" s="2" t="str">
        <f>VLOOKUP(G882,Produtos!A:B,2,FALSE)</f>
        <v>GUARANA CHP ANTARCTICA PET 2L CAIXA C/6</v>
      </c>
      <c r="I882" s="3" t="s">
        <v>496</v>
      </c>
      <c r="J88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3" spans="1:10" x14ac:dyDescent="0.25">
      <c r="A883">
        <v>882</v>
      </c>
      <c r="B883" s="1">
        <v>45951.329085648104</v>
      </c>
      <c r="C883" s="1">
        <v>45951.329513888901</v>
      </c>
      <c r="D883" s="3" t="s">
        <v>20</v>
      </c>
      <c r="E883" s="3" t="s">
        <v>24</v>
      </c>
      <c r="F883" s="3"/>
      <c r="G883" s="2">
        <v>21441</v>
      </c>
      <c r="H883" s="2" t="str">
        <f>VLOOKUP(G883,Produtos!A:B,2,FALSE)</f>
        <v>SUKITA LIMAO PET 2L CAIXA C/6</v>
      </c>
      <c r="I883" s="3" t="s">
        <v>491</v>
      </c>
      <c r="J88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4" spans="1:10" x14ac:dyDescent="0.25">
      <c r="A884">
        <v>883</v>
      </c>
      <c r="B884" s="1">
        <v>45951.330092592601</v>
      </c>
      <c r="C884" s="1">
        <v>45951.330578703702</v>
      </c>
      <c r="D884" s="3" t="s">
        <v>20</v>
      </c>
      <c r="E884" s="3" t="s">
        <v>24</v>
      </c>
      <c r="F884" s="3"/>
      <c r="G884" s="2">
        <v>9084</v>
      </c>
      <c r="H884" s="2" t="str">
        <f>VLOOKUP(G884,Produtos!A:B,2,FALSE)</f>
        <v>GUARANA CHP ANTARCT LT350ML SH C/12 NPAL</v>
      </c>
      <c r="I884" s="3" t="s">
        <v>491</v>
      </c>
      <c r="J88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5" spans="1:10" x14ac:dyDescent="0.25">
      <c r="A885">
        <v>884</v>
      </c>
      <c r="B885" s="1">
        <v>45951.331145833297</v>
      </c>
      <c r="C885" s="1">
        <v>45951.331620370402</v>
      </c>
      <c r="D885" s="3" t="s">
        <v>20</v>
      </c>
      <c r="E885" s="3" t="s">
        <v>24</v>
      </c>
      <c r="F885" s="3"/>
      <c r="G885" s="2">
        <v>9320</v>
      </c>
      <c r="H885" s="2" t="str">
        <f>VLOOKUP(G885,Produtos!A:B,2,FALSE)</f>
        <v>BRAHMA CHOPP LT 473ML SH C/12 NPAL</v>
      </c>
      <c r="I885" s="3" t="s">
        <v>491</v>
      </c>
      <c r="J88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6" spans="1:10" x14ac:dyDescent="0.25">
      <c r="A886">
        <v>885</v>
      </c>
      <c r="B886" s="1">
        <v>45951.333425925899</v>
      </c>
      <c r="C886" s="1">
        <v>45951.333888888897</v>
      </c>
      <c r="D886" s="3" t="s">
        <v>20</v>
      </c>
      <c r="E886" s="3" t="s">
        <v>24</v>
      </c>
      <c r="F886" s="3"/>
      <c r="G886" s="2">
        <v>33820</v>
      </c>
      <c r="H886" s="2" t="e">
        <f>VLOOKUP(G886,Produtos!A:B,2,FALSE)</f>
        <v>#N/A</v>
      </c>
      <c r="I886" s="3" t="s">
        <v>491</v>
      </c>
      <c r="J88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7" spans="1:10" x14ac:dyDescent="0.25">
      <c r="A887">
        <v>886</v>
      </c>
      <c r="B887" s="1">
        <v>45951.333969907399</v>
      </c>
      <c r="C887" s="1">
        <v>45951.334386574097</v>
      </c>
      <c r="D887" s="3" t="s">
        <v>20</v>
      </c>
      <c r="E887" s="3" t="s">
        <v>24</v>
      </c>
      <c r="F887" s="3"/>
      <c r="G887" s="2">
        <v>1164</v>
      </c>
      <c r="H887" s="2" t="str">
        <f>VLOOKUP(G887,Produtos!A:B,2,FALSE)</f>
        <v>SUKITA UVA LATA 350ML SH C/12 NPAL</v>
      </c>
      <c r="I887" s="3" t="s">
        <v>491</v>
      </c>
      <c r="J88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8" spans="1:10" x14ac:dyDescent="0.25">
      <c r="A888">
        <v>887</v>
      </c>
      <c r="B888" s="1">
        <v>45951.336238425902</v>
      </c>
      <c r="C888" s="1">
        <v>45951.336736111101</v>
      </c>
      <c r="D888" s="3" t="s">
        <v>20</v>
      </c>
      <c r="E888" s="3" t="s">
        <v>24</v>
      </c>
      <c r="F888" s="3"/>
      <c r="G888" s="2">
        <v>17797</v>
      </c>
      <c r="H888" s="2" t="str">
        <f>VLOOKUP(G888,Produtos!A:B,2,FALSE)</f>
        <v>BRAHMA CHOPP LATA 350ML SH 18 MULTIPACK</v>
      </c>
      <c r="I888" s="3" t="s">
        <v>491</v>
      </c>
      <c r="J88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89" spans="1:10" x14ac:dyDescent="0.25">
      <c r="A889">
        <v>888</v>
      </c>
      <c r="B889" s="1">
        <v>45951.3688541667</v>
      </c>
      <c r="C889" s="1">
        <v>45951.369502314803</v>
      </c>
      <c r="D889" s="3" t="s">
        <v>18</v>
      </c>
      <c r="E889" s="3" t="s">
        <v>24</v>
      </c>
      <c r="F889" s="3"/>
      <c r="G889" s="2">
        <v>21658</v>
      </c>
      <c r="H889" s="2" t="str">
        <f>VLOOKUP(G889,Produtos!A:B,2,FALSE)</f>
        <v>SPATEN N LT SLEEK 350ML CX CART C12</v>
      </c>
      <c r="I889" s="3" t="s">
        <v>493</v>
      </c>
      <c r="J88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0" spans="1:10" x14ac:dyDescent="0.25">
      <c r="A890">
        <v>889</v>
      </c>
      <c r="B890" s="1">
        <v>45951.369560185201</v>
      </c>
      <c r="C890" s="1">
        <v>45951.37</v>
      </c>
      <c r="D890" s="3" t="s">
        <v>20</v>
      </c>
      <c r="E890" s="3" t="s">
        <v>21</v>
      </c>
      <c r="F890" s="3"/>
      <c r="G890" s="2">
        <v>14135</v>
      </c>
      <c r="H890" s="2" t="str">
        <f>VLOOKUP(G890,Produtos!A:B,2,FALSE)</f>
        <v>BUDWEISER LT 473ML SIX-PACK SH C/2 NPAL</v>
      </c>
      <c r="I890" s="3" t="s">
        <v>491</v>
      </c>
      <c r="J89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1" spans="1:10" x14ac:dyDescent="0.25">
      <c r="A891">
        <v>890</v>
      </c>
      <c r="B891" s="1">
        <v>45951.370659722197</v>
      </c>
      <c r="C891" s="1">
        <v>45951.371157407397</v>
      </c>
      <c r="D891" s="3" t="s">
        <v>20</v>
      </c>
      <c r="E891" s="3" t="s">
        <v>34</v>
      </c>
      <c r="F891" s="3"/>
      <c r="G891" s="2">
        <v>21020</v>
      </c>
      <c r="H891" s="2" t="str">
        <f>VLOOKUP(G891,Produtos!A:B,2,FALSE)</f>
        <v>BUDWEISER LT SLEEK 350ML CX CART C12</v>
      </c>
      <c r="I891" s="3" t="s">
        <v>491</v>
      </c>
      <c r="J89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2" spans="1:10" x14ac:dyDescent="0.25">
      <c r="A892">
        <v>891</v>
      </c>
      <c r="B892" s="1">
        <v>45951.371979166703</v>
      </c>
      <c r="C892" s="1">
        <v>45951.372673611098</v>
      </c>
      <c r="D892" s="3" t="s">
        <v>20</v>
      </c>
      <c r="E892" s="3" t="s">
        <v>21</v>
      </c>
      <c r="F892" s="3"/>
      <c r="G892" s="2">
        <v>9089</v>
      </c>
      <c r="H892" s="2" t="str">
        <f>VLOOKUP(G892,Produtos!A:B,2,FALSE)</f>
        <v>SUKITA LATA 350ML SH C/12 NPAL</v>
      </c>
      <c r="I892" s="3" t="s">
        <v>491</v>
      </c>
      <c r="J89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3" spans="1:10" x14ac:dyDescent="0.25">
      <c r="A893">
        <v>892</v>
      </c>
      <c r="B893" s="1">
        <v>45951.373032407399</v>
      </c>
      <c r="C893" s="1">
        <v>45951.374004629601</v>
      </c>
      <c r="D893" s="3" t="s">
        <v>20</v>
      </c>
      <c r="E893" s="3" t="s">
        <v>34</v>
      </c>
      <c r="F893" s="3"/>
      <c r="G893" s="2">
        <v>4409</v>
      </c>
      <c r="H893" s="2" t="str">
        <f>VLOOKUP(G893,Produtos!A:B,2,FALSE)</f>
        <v>PEPSI TWIST PET 2L SHRINK C/6</v>
      </c>
      <c r="I893" s="3" t="s">
        <v>491</v>
      </c>
      <c r="J89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4" spans="1:10" x14ac:dyDescent="0.25">
      <c r="A894">
        <v>893</v>
      </c>
      <c r="B894" s="1">
        <v>45951.381412037001</v>
      </c>
      <c r="C894" s="1">
        <v>45951.382129629601</v>
      </c>
      <c r="D894" s="3" t="s">
        <v>18</v>
      </c>
      <c r="E894" s="3" t="s">
        <v>24</v>
      </c>
      <c r="F894" s="3"/>
      <c r="G894" s="2">
        <v>17797</v>
      </c>
      <c r="H894" s="2" t="str">
        <f>VLOOKUP(G894,Produtos!A:B,2,FALSE)</f>
        <v>BRAHMA CHOPP LATA 350ML SH 18 MULTIPACK</v>
      </c>
      <c r="I894" s="3" t="s">
        <v>493</v>
      </c>
      <c r="J89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5" spans="1:10" x14ac:dyDescent="0.25">
      <c r="A895">
        <v>894</v>
      </c>
      <c r="B895" s="1">
        <v>45951.382303240702</v>
      </c>
      <c r="C895" s="1">
        <v>45951.383518518502</v>
      </c>
      <c r="D895" s="3" t="s">
        <v>18</v>
      </c>
      <c r="E895" s="3" t="s">
        <v>24</v>
      </c>
      <c r="F895" s="3"/>
      <c r="G895" s="2">
        <v>9083</v>
      </c>
      <c r="H895" s="2" t="str">
        <f>VLOOKUP(G895,Produtos!A:B,2,FALSE)</f>
        <v>SKOL LT 473ML SH C/12 NPAL</v>
      </c>
      <c r="I895" s="3" t="s">
        <v>493</v>
      </c>
      <c r="J89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6" spans="1:10" x14ac:dyDescent="0.25">
      <c r="A896">
        <v>895</v>
      </c>
      <c r="B896" s="1">
        <v>45951.3835300926</v>
      </c>
      <c r="C896" s="1">
        <v>45951.384178240703</v>
      </c>
      <c r="D896" s="3" t="s">
        <v>18</v>
      </c>
      <c r="E896" s="3" t="s">
        <v>24</v>
      </c>
      <c r="F896" s="3"/>
      <c r="G896" s="2">
        <v>9274</v>
      </c>
      <c r="H896" s="2" t="str">
        <f>VLOOKUP(G896,Produtos!A:B,2,FALSE)</f>
        <v>PEPSI ZERO LATA 350ML SH C/12 NPAL</v>
      </c>
      <c r="I896" s="3" t="s">
        <v>493</v>
      </c>
      <c r="J89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7" spans="1:10" x14ac:dyDescent="0.25">
      <c r="A897">
        <v>896</v>
      </c>
      <c r="B897" s="1">
        <v>45951.383541666699</v>
      </c>
      <c r="C897" s="1">
        <v>45951.384189814802</v>
      </c>
      <c r="D897" s="3" t="s">
        <v>18</v>
      </c>
      <c r="E897" s="3" t="s">
        <v>24</v>
      </c>
      <c r="F897" s="3"/>
      <c r="G897" s="2">
        <v>9274</v>
      </c>
      <c r="H897" s="2" t="str">
        <f>VLOOKUP(G897,Produtos!A:B,2,FALSE)</f>
        <v>PEPSI ZERO LATA 350ML SH C/12 NPAL</v>
      </c>
      <c r="I897" s="3" t="s">
        <v>493</v>
      </c>
      <c r="J89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8" spans="1:10" x14ac:dyDescent="0.25">
      <c r="A898">
        <v>897</v>
      </c>
      <c r="B898" s="1">
        <v>45951.4371412037</v>
      </c>
      <c r="C898" s="1">
        <v>45951.438252314802</v>
      </c>
      <c r="D898" s="3" t="s">
        <v>20</v>
      </c>
      <c r="E898" s="3" t="s">
        <v>13</v>
      </c>
      <c r="F898" s="3"/>
      <c r="G898" s="2">
        <v>15416</v>
      </c>
      <c r="H898" s="2" t="str">
        <f>VLOOKUP(G898,Produtos!A:B,2,FALSE)</f>
        <v>AGUA M F DA ILHA C/G PET 500ML CXC12 PRE</v>
      </c>
      <c r="I898" s="3" t="s">
        <v>501</v>
      </c>
      <c r="J89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899" spans="1:10" x14ac:dyDescent="0.25">
      <c r="A899">
        <v>898</v>
      </c>
      <c r="B899" s="1">
        <v>45952.329722222203</v>
      </c>
      <c r="C899" s="1">
        <v>45952.3301967593</v>
      </c>
      <c r="D899" s="3" t="s">
        <v>20</v>
      </c>
      <c r="E899" s="3" t="s">
        <v>24</v>
      </c>
      <c r="F899" s="3"/>
      <c r="G899" s="2">
        <v>9084</v>
      </c>
      <c r="H899" s="2" t="str">
        <f>VLOOKUP(G899,Produtos!A:B,2,FALSE)</f>
        <v>GUARANA CHP ANTARCT LT350ML SH C/12 NPAL</v>
      </c>
      <c r="I899" s="3" t="s">
        <v>491</v>
      </c>
      <c r="J89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0" spans="1:10" x14ac:dyDescent="0.25">
      <c r="A900">
        <v>899</v>
      </c>
      <c r="B900" s="1">
        <v>45952.438055555598</v>
      </c>
      <c r="C900" s="1">
        <v>45952.438958333303</v>
      </c>
      <c r="D900" s="3" t="s">
        <v>20</v>
      </c>
      <c r="E900" s="3" t="s">
        <v>24</v>
      </c>
      <c r="F900" s="3"/>
      <c r="G900" s="2">
        <v>9093</v>
      </c>
      <c r="H900" s="2" t="str">
        <f>VLOOKUP(G900,Produtos!A:B,2,FALSE)</f>
        <v>PEPSI TWIST LATA 350ML SH C/12 NPAL</v>
      </c>
      <c r="I900" s="3" t="s">
        <v>491</v>
      </c>
      <c r="J90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1" spans="1:10" x14ac:dyDescent="0.25">
      <c r="A901">
        <v>900</v>
      </c>
      <c r="B901" s="1">
        <v>45952.440254629597</v>
      </c>
      <c r="C901" s="1">
        <v>45952.440706018497</v>
      </c>
      <c r="D901" s="3" t="s">
        <v>20</v>
      </c>
      <c r="E901" s="3" t="s">
        <v>24</v>
      </c>
      <c r="F901" s="3"/>
      <c r="G901" s="2">
        <v>9320</v>
      </c>
      <c r="H901" s="2" t="str">
        <f>VLOOKUP(G901,Produtos!A:B,2,FALSE)</f>
        <v>BRAHMA CHOPP LT 473ML SH C/12 NPAL</v>
      </c>
      <c r="I901" s="3" t="s">
        <v>491</v>
      </c>
      <c r="J90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2" spans="1:10" x14ac:dyDescent="0.25">
      <c r="A902">
        <v>901</v>
      </c>
      <c r="B902" s="1">
        <v>45953.193854166697</v>
      </c>
      <c r="C902" s="1">
        <v>45953.195231481499</v>
      </c>
      <c r="D902" s="3" t="s">
        <v>27</v>
      </c>
      <c r="E902" s="3" t="s">
        <v>15</v>
      </c>
      <c r="F902" s="3"/>
      <c r="G902" s="2">
        <v>9083</v>
      </c>
      <c r="H902" s="2" t="str">
        <f>VLOOKUP(G902,Produtos!A:B,2,FALSE)</f>
        <v>SKOL LT 473ML SH C/12 NPAL</v>
      </c>
      <c r="I902" s="3" t="s">
        <v>493</v>
      </c>
      <c r="J90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3" spans="1:10" x14ac:dyDescent="0.25">
      <c r="A903">
        <v>902</v>
      </c>
      <c r="B903" s="1">
        <v>45953.209178240701</v>
      </c>
      <c r="C903" s="1">
        <v>45953.210196759297</v>
      </c>
      <c r="D903" s="3" t="s">
        <v>27</v>
      </c>
      <c r="E903" s="3" t="s">
        <v>15</v>
      </c>
      <c r="F903" s="3"/>
      <c r="G903" s="2">
        <v>9068</v>
      </c>
      <c r="H903" s="2" t="str">
        <f>VLOOKUP(G903,Produtos!A:B,2,FALSE)</f>
        <v>SKOL LATA 350ML SH C/12 NPAL</v>
      </c>
      <c r="I903" s="3" t="s">
        <v>493</v>
      </c>
      <c r="J90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4" spans="1:10" x14ac:dyDescent="0.25">
      <c r="A904">
        <v>903</v>
      </c>
      <c r="B904" s="1">
        <v>45953.386030092603</v>
      </c>
      <c r="C904" s="1">
        <v>45953.386643518497</v>
      </c>
      <c r="D904" s="3" t="s">
        <v>20</v>
      </c>
      <c r="E904" s="3" t="s">
        <v>24</v>
      </c>
      <c r="F904" s="3"/>
      <c r="G904" s="2">
        <v>9084</v>
      </c>
      <c r="H904" s="2" t="str">
        <f>VLOOKUP(G904,Produtos!A:B,2,FALSE)</f>
        <v>GUARANA CHP ANTARCT LT350ML SH C/12 NPAL</v>
      </c>
      <c r="I904" s="3" t="s">
        <v>491</v>
      </c>
      <c r="J90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5" spans="1:10" x14ac:dyDescent="0.25">
      <c r="A905">
        <v>904</v>
      </c>
      <c r="B905" s="1">
        <v>45953.386736111097</v>
      </c>
      <c r="C905" s="1">
        <v>45953.387141203697</v>
      </c>
      <c r="D905" s="3" t="s">
        <v>20</v>
      </c>
      <c r="E905" s="3" t="s">
        <v>24</v>
      </c>
      <c r="F905" s="3"/>
      <c r="G905" s="2">
        <v>9089</v>
      </c>
      <c r="H905" s="2" t="str">
        <f>VLOOKUP(G905,Produtos!A:B,2,FALSE)</f>
        <v>SUKITA LATA 350ML SH C/12 NPAL</v>
      </c>
      <c r="I905" s="3" t="s">
        <v>491</v>
      </c>
      <c r="J90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6" spans="1:10" x14ac:dyDescent="0.25">
      <c r="A906">
        <v>905</v>
      </c>
      <c r="B906" s="1">
        <v>45953.3895486111</v>
      </c>
      <c r="C906" s="1">
        <v>45953.390231481499</v>
      </c>
      <c r="D906" s="3" t="s">
        <v>20</v>
      </c>
      <c r="E906" s="3" t="s">
        <v>24</v>
      </c>
      <c r="F906" s="3"/>
      <c r="G906" s="2">
        <v>34027</v>
      </c>
      <c r="H906" s="2" t="str">
        <f>VLOOKUP(G906,Produtos!A:B,2,FALSE)</f>
        <v>GUARANA CHP ANT LATA 350ML SH C/12 MP</v>
      </c>
      <c r="I906" s="3" t="s">
        <v>491</v>
      </c>
      <c r="J90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7" spans="1:10" x14ac:dyDescent="0.25">
      <c r="A907">
        <v>906</v>
      </c>
      <c r="B907" s="1">
        <v>45953.391111111101</v>
      </c>
      <c r="C907" s="1">
        <v>45953.391550925902</v>
      </c>
      <c r="D907" s="3" t="s">
        <v>20</v>
      </c>
      <c r="E907" s="3" t="s">
        <v>24</v>
      </c>
      <c r="F907" s="3"/>
      <c r="G907" s="2">
        <v>9320</v>
      </c>
      <c r="H907" s="2" t="str">
        <f>VLOOKUP(G907,Produtos!A:B,2,FALSE)</f>
        <v>BRAHMA CHOPP LT 473ML SH C/12 NPAL</v>
      </c>
      <c r="I907" s="3" t="s">
        <v>491</v>
      </c>
      <c r="J90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8" spans="1:10" x14ac:dyDescent="0.25">
      <c r="A908">
        <v>907</v>
      </c>
      <c r="B908" s="1">
        <v>45953.394745370402</v>
      </c>
      <c r="C908" s="1">
        <v>45953.395671296297</v>
      </c>
      <c r="D908" s="3" t="s">
        <v>20</v>
      </c>
      <c r="E908" s="3" t="s">
        <v>26</v>
      </c>
      <c r="F908" s="3"/>
      <c r="G908" s="2">
        <v>9069</v>
      </c>
      <c r="H908" s="2" t="str">
        <f>VLOOKUP(G908,Produtos!A:B,2,FALSE)</f>
        <v>BRAHMA CHOPP LATA 350ML SH C/12 NPAL</v>
      </c>
      <c r="I908" s="3" t="s">
        <v>491</v>
      </c>
      <c r="J90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09" spans="1:10" x14ac:dyDescent="0.25">
      <c r="A909">
        <v>908</v>
      </c>
      <c r="B909" s="1">
        <v>45953.395104166702</v>
      </c>
      <c r="C909" s="1">
        <v>45953.395879629599</v>
      </c>
      <c r="D909" s="3" t="s">
        <v>18</v>
      </c>
      <c r="E909" s="3" t="s">
        <v>24</v>
      </c>
      <c r="F909" s="3"/>
      <c r="G909" s="2">
        <v>9320</v>
      </c>
      <c r="H909" s="2" t="str">
        <f>VLOOKUP(G909,Produtos!A:B,2,FALSE)</f>
        <v>BRAHMA CHOPP LT 473ML SH C/12 NPAL</v>
      </c>
      <c r="I909" s="3" t="s">
        <v>493</v>
      </c>
      <c r="J90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0" spans="1:10" x14ac:dyDescent="0.25">
      <c r="A910">
        <v>909</v>
      </c>
      <c r="B910" s="1">
        <v>45953.465208333299</v>
      </c>
      <c r="C910" s="1">
        <v>45953.4656944444</v>
      </c>
      <c r="D910" s="3" t="s">
        <v>20</v>
      </c>
      <c r="E910" s="3" t="s">
        <v>24</v>
      </c>
      <c r="F910" s="3"/>
      <c r="G910" s="2">
        <v>22290</v>
      </c>
      <c r="H910" s="2" t="e">
        <f>VLOOKUP(G910,Produtos!A:B,2,FALSE)</f>
        <v>#N/A</v>
      </c>
      <c r="I910" s="3" t="s">
        <v>503</v>
      </c>
      <c r="J91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1" spans="1:10" x14ac:dyDescent="0.25">
      <c r="A911">
        <v>910</v>
      </c>
      <c r="B911" s="1">
        <v>45953.689085648097</v>
      </c>
      <c r="C911" s="1">
        <v>45953.691226851799</v>
      </c>
      <c r="D911" s="3" t="s">
        <v>32</v>
      </c>
      <c r="E911" s="3" t="s">
        <v>15</v>
      </c>
      <c r="F911" s="3"/>
      <c r="G911" s="3"/>
      <c r="H911" s="3" t="e">
        <f>VLOOKUP(G911,Produtos!A:B,2,FALSE)</f>
        <v>#N/A</v>
      </c>
      <c r="I911" s="3"/>
      <c r="J91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2" spans="1:10" x14ac:dyDescent="0.25">
      <c r="A912">
        <v>911</v>
      </c>
      <c r="B912" s="1">
        <v>45954.184525463003</v>
      </c>
      <c r="C912" s="1">
        <v>45954.1859259259</v>
      </c>
      <c r="D912" s="3" t="s">
        <v>27</v>
      </c>
      <c r="E912" s="3" t="s">
        <v>15</v>
      </c>
      <c r="F912" s="3"/>
      <c r="G912" s="2">
        <v>9069</v>
      </c>
      <c r="H912" s="2" t="str">
        <f>VLOOKUP(G912,Produtos!A:B,2,FALSE)</f>
        <v>BRAHMA CHOPP LATA 350ML SH C/12 NPAL</v>
      </c>
      <c r="I912" s="3" t="s">
        <v>493</v>
      </c>
      <c r="J91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3" spans="1:10" x14ac:dyDescent="0.25">
      <c r="A913">
        <v>912</v>
      </c>
      <c r="B913" s="1">
        <v>45954.334120370397</v>
      </c>
      <c r="C913" s="1">
        <v>45954.335208333301</v>
      </c>
      <c r="D913" s="3" t="s">
        <v>20</v>
      </c>
      <c r="E913" s="3" t="s">
        <v>34</v>
      </c>
      <c r="F913" s="3"/>
      <c r="G913" s="2">
        <v>21020</v>
      </c>
      <c r="H913" s="2" t="str">
        <f>VLOOKUP(G913,Produtos!A:B,2,FALSE)</f>
        <v>BUDWEISER LT SLEEK 350ML CX CART C12</v>
      </c>
      <c r="I913" s="3" t="s">
        <v>491</v>
      </c>
      <c r="J91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4" spans="1:10" x14ac:dyDescent="0.25">
      <c r="A914">
        <v>913</v>
      </c>
      <c r="B914" s="1">
        <v>45954.335902777799</v>
      </c>
      <c r="C914" s="1">
        <v>45954.336574074099</v>
      </c>
      <c r="D914" s="3" t="s">
        <v>20</v>
      </c>
      <c r="E914" s="3" t="s">
        <v>21</v>
      </c>
      <c r="F914" s="3"/>
      <c r="G914" s="2">
        <v>17808</v>
      </c>
      <c r="H914" s="2" t="str">
        <f>VLOOKUP(G914,Produtos!A:B,2,FALSE)</f>
        <v>BUDWEISER OW 330ML CX C 24</v>
      </c>
      <c r="I914" s="3" t="s">
        <v>503</v>
      </c>
      <c r="J91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5" spans="1:10" x14ac:dyDescent="0.25">
      <c r="A915">
        <v>914</v>
      </c>
      <c r="B915" s="1">
        <v>45954.337858796302</v>
      </c>
      <c r="C915" s="1">
        <v>45954.338391203702</v>
      </c>
      <c r="D915" s="3" t="s">
        <v>18</v>
      </c>
      <c r="E915" s="3" t="s">
        <v>34</v>
      </c>
      <c r="F915" s="3"/>
      <c r="G915" s="2">
        <v>21020</v>
      </c>
      <c r="H915" s="2" t="str">
        <f>VLOOKUP(G915,Produtos!A:B,2,FALSE)</f>
        <v>BUDWEISER LT SLEEK 350ML CX CART C12</v>
      </c>
      <c r="I915" s="3" t="s">
        <v>493</v>
      </c>
      <c r="J91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6" spans="1:10" x14ac:dyDescent="0.25">
      <c r="A916">
        <v>915</v>
      </c>
      <c r="B916" s="1">
        <v>45954.337777777801</v>
      </c>
      <c r="C916" s="1">
        <v>45954.338460648098</v>
      </c>
      <c r="D916" s="3" t="s">
        <v>20</v>
      </c>
      <c r="E916" s="3" t="s">
        <v>21</v>
      </c>
      <c r="F916" s="3"/>
      <c r="G916" s="2">
        <v>29580</v>
      </c>
      <c r="H916" s="2" t="str">
        <f>VLOOKUP(G916,Produtos!A:B,2,FALSE)</f>
        <v>STELLA ARTOIS PURE GOLD LN 330 SXP SH C4</v>
      </c>
      <c r="I916" s="3" t="s">
        <v>503</v>
      </c>
      <c r="J91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7" spans="1:10" x14ac:dyDescent="0.25">
      <c r="A917">
        <v>916</v>
      </c>
      <c r="B917" s="1">
        <v>45954.338888888902</v>
      </c>
      <c r="C917" s="1">
        <v>45954.339525463001</v>
      </c>
      <c r="D917" s="3" t="s">
        <v>18</v>
      </c>
      <c r="E917" s="3" t="s">
        <v>21</v>
      </c>
      <c r="F917" s="3"/>
      <c r="G917" s="2">
        <v>29580</v>
      </c>
      <c r="H917" s="2" t="str">
        <f>VLOOKUP(G917,Produtos!A:B,2,FALSE)</f>
        <v>STELLA ARTOIS PURE GOLD LN 330 SXP SH C4</v>
      </c>
      <c r="I917" s="3" t="s">
        <v>493</v>
      </c>
      <c r="J91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8" spans="1:10" x14ac:dyDescent="0.25">
      <c r="A918">
        <v>917</v>
      </c>
      <c r="B918" s="1">
        <v>45954.339537036998</v>
      </c>
      <c r="C918" s="1">
        <v>45954.340277777803</v>
      </c>
      <c r="D918" s="3" t="s">
        <v>18</v>
      </c>
      <c r="E918" s="3" t="s">
        <v>21</v>
      </c>
      <c r="F918" s="3"/>
      <c r="G918" s="2">
        <v>17808</v>
      </c>
      <c r="H918" s="2" t="str">
        <f>VLOOKUP(G918,Produtos!A:B,2,FALSE)</f>
        <v>BUDWEISER OW 330ML CX C 24</v>
      </c>
      <c r="I918" s="3" t="s">
        <v>493</v>
      </c>
      <c r="J91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19" spans="1:10" x14ac:dyDescent="0.25">
      <c r="A919">
        <v>918</v>
      </c>
      <c r="B919" s="1">
        <v>45954.341180555602</v>
      </c>
      <c r="C919" s="1">
        <v>45954.342037037</v>
      </c>
      <c r="D919" s="3" t="s">
        <v>20</v>
      </c>
      <c r="E919" s="3" t="s">
        <v>24</v>
      </c>
      <c r="F919" s="3"/>
      <c r="G919" s="2">
        <v>7985</v>
      </c>
      <c r="H919" s="2" t="str">
        <f>VLOOKUP(G919,Produtos!A:B,2,FALSE)</f>
        <v>GATORADE MARACUJA PET 500ML SIX PACK</v>
      </c>
      <c r="I919" s="3" t="s">
        <v>509</v>
      </c>
      <c r="J91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0" spans="1:10" x14ac:dyDescent="0.25">
      <c r="A920">
        <v>919</v>
      </c>
      <c r="B920" s="1">
        <v>45954.343090277798</v>
      </c>
      <c r="C920" s="1">
        <v>45954.343692129602</v>
      </c>
      <c r="D920" s="3" t="s">
        <v>20</v>
      </c>
      <c r="E920" s="3" t="s">
        <v>24</v>
      </c>
      <c r="F920" s="3"/>
      <c r="G920" s="2">
        <v>2354</v>
      </c>
      <c r="H920" s="2" t="str">
        <f>VLOOKUP(G920,Produtos!A:B,2,FALSE)</f>
        <v>SODA LIMONADA ANTARCT DIET PET 2L CX C/6</v>
      </c>
      <c r="I920" s="3" t="s">
        <v>492</v>
      </c>
      <c r="J92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1" spans="1:10" x14ac:dyDescent="0.25">
      <c r="A921">
        <v>920</v>
      </c>
      <c r="B921" s="1">
        <v>45954.343472222201</v>
      </c>
      <c r="C921" s="1">
        <v>45954.343969907401</v>
      </c>
      <c r="D921" s="3" t="s">
        <v>18</v>
      </c>
      <c r="E921" s="3" t="s">
        <v>24</v>
      </c>
      <c r="F921" s="3"/>
      <c r="G921" s="2">
        <v>22180</v>
      </c>
      <c r="H921" s="2" t="str">
        <f>VLOOKUP(G921,Produtos!A:B,2,FALSE)</f>
        <v>BUDWEISER ZERO LN 330ML SIX-PACK SH C/4</v>
      </c>
      <c r="I921" s="3" t="s">
        <v>493</v>
      </c>
      <c r="J92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2" spans="1:10" x14ac:dyDescent="0.25">
      <c r="A922">
        <v>921</v>
      </c>
      <c r="B922" s="1">
        <v>45954.344733796301</v>
      </c>
      <c r="C922" s="1">
        <v>45954.3453240741</v>
      </c>
      <c r="D922" s="3" t="s">
        <v>20</v>
      </c>
      <c r="E922" s="3" t="s">
        <v>24</v>
      </c>
      <c r="F922" s="3"/>
      <c r="G922" s="2">
        <v>9091</v>
      </c>
      <c r="H922" s="2" t="str">
        <f>VLOOKUP(G922,Produtos!A:B,2,FALSE)</f>
        <v>TONICA ANTARCTICA LT 350ML SH C/12 NPAL</v>
      </c>
      <c r="I922" s="3" t="s">
        <v>491</v>
      </c>
      <c r="J92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3" spans="1:10" x14ac:dyDescent="0.25">
      <c r="A923">
        <v>922</v>
      </c>
      <c r="B923" s="1">
        <v>45954.346006944397</v>
      </c>
      <c r="C923" s="1">
        <v>45954.346504629597</v>
      </c>
      <c r="D923" s="3" t="s">
        <v>18</v>
      </c>
      <c r="E923" s="3" t="s">
        <v>24</v>
      </c>
      <c r="F923" s="3"/>
      <c r="G923" s="2">
        <v>9091</v>
      </c>
      <c r="H923" s="2" t="str">
        <f>VLOOKUP(G923,Produtos!A:B,2,FALSE)</f>
        <v>TONICA ANTARCTICA LT 350ML SH C/12 NPAL</v>
      </c>
      <c r="I923" s="3" t="s">
        <v>493</v>
      </c>
      <c r="J92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4" spans="1:10" x14ac:dyDescent="0.25">
      <c r="A924">
        <v>923</v>
      </c>
      <c r="B924" s="1">
        <v>45954.348113425898</v>
      </c>
      <c r="C924" s="1">
        <v>45954.348703703698</v>
      </c>
      <c r="D924" s="3" t="s">
        <v>20</v>
      </c>
      <c r="E924" s="3" t="s">
        <v>24</v>
      </c>
      <c r="F924" s="3"/>
      <c r="G924" s="2">
        <v>9071</v>
      </c>
      <c r="H924" s="2" t="str">
        <f>VLOOKUP(G924,Produtos!A:B,2,FALSE)</f>
        <v>CARACU LATA 350ML SH C/12 NPAL</v>
      </c>
      <c r="I924" s="3" t="s">
        <v>491</v>
      </c>
      <c r="J92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5" spans="1:10" x14ac:dyDescent="0.25">
      <c r="A925">
        <v>924</v>
      </c>
      <c r="B925" s="1">
        <v>45954.348148148099</v>
      </c>
      <c r="C925" s="1">
        <v>45954.348738425899</v>
      </c>
      <c r="D925" s="3" t="s">
        <v>18</v>
      </c>
      <c r="E925" s="3" t="s">
        <v>24</v>
      </c>
      <c r="F925" s="3"/>
      <c r="G925" s="2">
        <v>9071</v>
      </c>
      <c r="H925" s="2" t="str">
        <f>VLOOKUP(G925,Produtos!A:B,2,FALSE)</f>
        <v>CARACU LATA 350ML SH C/12 NPAL</v>
      </c>
      <c r="I925" s="3" t="s">
        <v>493</v>
      </c>
      <c r="J92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6" spans="1:10" x14ac:dyDescent="0.25">
      <c r="A926">
        <v>925</v>
      </c>
      <c r="B926" s="1">
        <v>45954.349340277797</v>
      </c>
      <c r="C926" s="1">
        <v>45954.350011574097</v>
      </c>
      <c r="D926" s="3" t="s">
        <v>20</v>
      </c>
      <c r="E926" s="3" t="s">
        <v>24</v>
      </c>
      <c r="F926" s="3"/>
      <c r="G926" s="2">
        <v>9068</v>
      </c>
      <c r="H926" s="2" t="str">
        <f>VLOOKUP(G926,Produtos!A:B,2,FALSE)</f>
        <v>SKOL LATA 350ML SH C/12 NPAL</v>
      </c>
      <c r="I926" s="3" t="s">
        <v>491</v>
      </c>
      <c r="J92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7" spans="1:10" x14ac:dyDescent="0.25">
      <c r="A927">
        <v>926</v>
      </c>
      <c r="B927" s="1">
        <v>45954.349560185197</v>
      </c>
      <c r="C927" s="1">
        <v>45954.350057870397</v>
      </c>
      <c r="D927" s="3" t="s">
        <v>18</v>
      </c>
      <c r="E927" s="3" t="s">
        <v>24</v>
      </c>
      <c r="F927" s="3"/>
      <c r="G927" s="2">
        <v>17797</v>
      </c>
      <c r="H927" s="2" t="str">
        <f>VLOOKUP(G927,Produtos!A:B,2,FALSE)</f>
        <v>BRAHMA CHOPP LATA 350ML SH 18 MULTIPACK</v>
      </c>
      <c r="I927" s="3" t="s">
        <v>493</v>
      </c>
      <c r="J92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8" spans="1:10" x14ac:dyDescent="0.25">
      <c r="A928">
        <v>927</v>
      </c>
      <c r="B928" s="1">
        <v>45954.351354166698</v>
      </c>
      <c r="C928" s="1">
        <v>45954.351851851803</v>
      </c>
      <c r="D928" s="3" t="s">
        <v>20</v>
      </c>
      <c r="E928" s="3" t="s">
        <v>26</v>
      </c>
      <c r="F928" s="3"/>
      <c r="G928" s="2">
        <v>9276</v>
      </c>
      <c r="H928" s="2" t="str">
        <f>VLOOKUP(G928,Produtos!A:B,2,FALSE)</f>
        <v>PEPSI ZERO PET 2L CX C/6</v>
      </c>
      <c r="I928" s="3" t="s">
        <v>491</v>
      </c>
      <c r="J92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29" spans="1:10" x14ac:dyDescent="0.25">
      <c r="A929">
        <v>928</v>
      </c>
      <c r="B929" s="1">
        <v>45954.3536805556</v>
      </c>
      <c r="C929" s="1">
        <v>45954.354293981502</v>
      </c>
      <c r="D929" s="3" t="s">
        <v>20</v>
      </c>
      <c r="E929" s="3" t="s">
        <v>21</v>
      </c>
      <c r="F929" s="3"/>
      <c r="G929" s="2">
        <v>9069</v>
      </c>
      <c r="H929" s="2" t="str">
        <f>VLOOKUP(G929,Produtos!A:B,2,FALSE)</f>
        <v>BRAHMA CHOPP LATA 350ML SH C/12 NPAL</v>
      </c>
      <c r="I929" s="3" t="s">
        <v>491</v>
      </c>
      <c r="J92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0" spans="1:10" x14ac:dyDescent="0.25">
      <c r="A930">
        <v>929</v>
      </c>
      <c r="B930" s="1">
        <v>45955.261423611097</v>
      </c>
      <c r="C930" s="1">
        <v>45955.262210648099</v>
      </c>
      <c r="D930" s="3" t="s">
        <v>20</v>
      </c>
      <c r="E930" s="3" t="s">
        <v>24</v>
      </c>
      <c r="F930" s="3"/>
      <c r="G930" s="2">
        <v>9068</v>
      </c>
      <c r="H930" s="2" t="str">
        <f>VLOOKUP(G930,Produtos!A:B,2,FALSE)</f>
        <v>SKOL LATA 350ML SH C/12 NPAL</v>
      </c>
      <c r="I930" s="3" t="s">
        <v>491</v>
      </c>
      <c r="J93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1" spans="1:10" x14ac:dyDescent="0.25">
      <c r="A931">
        <v>930</v>
      </c>
      <c r="B931" s="1">
        <v>45957.440648148098</v>
      </c>
      <c r="C931" s="1">
        <v>45957.441284722197</v>
      </c>
      <c r="D931" s="3" t="s">
        <v>20</v>
      </c>
      <c r="E931" s="3" t="s">
        <v>24</v>
      </c>
      <c r="F931" s="3"/>
      <c r="G931" s="2">
        <v>9071</v>
      </c>
      <c r="H931" s="2" t="str">
        <f>VLOOKUP(G931,Produtos!A:B,2,FALSE)</f>
        <v>CARACU LATA 350ML SH C/12 NPAL</v>
      </c>
      <c r="I931" s="3" t="s">
        <v>491</v>
      </c>
      <c r="J93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2" spans="1:10" x14ac:dyDescent="0.25">
      <c r="A932">
        <v>931</v>
      </c>
      <c r="B932" s="1">
        <v>45957.443124999998</v>
      </c>
      <c r="C932" s="1">
        <v>45957.443842592598</v>
      </c>
      <c r="D932" s="3" t="s">
        <v>20</v>
      </c>
      <c r="E932" s="3" t="s">
        <v>24</v>
      </c>
      <c r="F932" s="3"/>
      <c r="G932" s="2">
        <v>9085</v>
      </c>
      <c r="H932" s="2" t="str">
        <f>VLOOKUP(G932,Produtos!A:B,2,FALSE)</f>
        <v>GUARANA CHP ANTARCT DIET LT350ML SHC/12</v>
      </c>
      <c r="I932" s="3" t="s">
        <v>491</v>
      </c>
      <c r="J93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3" spans="1:10" x14ac:dyDescent="0.25">
      <c r="A933">
        <v>932</v>
      </c>
      <c r="B933" s="1">
        <v>45957.444525462997</v>
      </c>
      <c r="C933" s="1">
        <v>45957.445057870398</v>
      </c>
      <c r="D933" s="3" t="s">
        <v>20</v>
      </c>
      <c r="E933" s="3" t="s">
        <v>24</v>
      </c>
      <c r="F933" s="3"/>
      <c r="G933" s="2">
        <v>4409</v>
      </c>
      <c r="H933" s="2" t="str">
        <f>VLOOKUP(G933,Produtos!A:B,2,FALSE)</f>
        <v>PEPSI TWIST PET 2L SHRINK C/6</v>
      </c>
      <c r="I933" s="3" t="s">
        <v>496</v>
      </c>
      <c r="J93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4" spans="1:10" x14ac:dyDescent="0.25">
      <c r="A934">
        <v>933</v>
      </c>
      <c r="B934" s="1">
        <v>45957.445486111101</v>
      </c>
      <c r="C934" s="1">
        <v>45957.445925925902</v>
      </c>
      <c r="D934" s="3" t="s">
        <v>20</v>
      </c>
      <c r="E934" s="3" t="s">
        <v>24</v>
      </c>
      <c r="F934" s="3"/>
      <c r="G934" s="2">
        <v>9096</v>
      </c>
      <c r="H934" s="2" t="str">
        <f>VLOOKUP(G934,Produtos!A:B,2,FALSE)</f>
        <v>PEPSI COLA LATA 350ML SH C/12 NPAL</v>
      </c>
      <c r="I934" s="3" t="s">
        <v>491</v>
      </c>
      <c r="J93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5" spans="1:10" x14ac:dyDescent="0.25">
      <c r="A935">
        <v>934</v>
      </c>
      <c r="B935" s="1">
        <v>45957.447280092601</v>
      </c>
      <c r="C935" s="1">
        <v>45957.447824074101</v>
      </c>
      <c r="D935" s="3" t="s">
        <v>20</v>
      </c>
      <c r="E935" s="3" t="s">
        <v>24</v>
      </c>
      <c r="F935" s="3"/>
      <c r="G935" s="2">
        <v>33818</v>
      </c>
      <c r="H935" s="2" t="str">
        <f>VLOOKUP(G935,Produtos!A:B,2,FALSE)</f>
        <v>ORIGINAL LT 350ML SH C/12 NP MULTIPACK</v>
      </c>
      <c r="I935" s="3" t="s">
        <v>491</v>
      </c>
      <c r="J93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6" spans="1:10" x14ac:dyDescent="0.25">
      <c r="A936">
        <v>935</v>
      </c>
      <c r="B936" s="1">
        <v>45958.392881944397</v>
      </c>
      <c r="C936" s="1">
        <v>45958.393553240698</v>
      </c>
      <c r="D936" s="3" t="s">
        <v>20</v>
      </c>
      <c r="E936" s="3" t="s">
        <v>24</v>
      </c>
      <c r="F936" s="3"/>
      <c r="G936" s="2">
        <v>9071</v>
      </c>
      <c r="H936" s="2" t="str">
        <f>VLOOKUP(G936,Produtos!A:B,2,FALSE)</f>
        <v>CARACU LATA 350ML SH C/12 NPAL</v>
      </c>
      <c r="I936" s="3" t="s">
        <v>491</v>
      </c>
      <c r="J93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7" spans="1:10" x14ac:dyDescent="0.25">
      <c r="A937">
        <v>936</v>
      </c>
      <c r="B937" s="1">
        <v>45958.394513888903</v>
      </c>
      <c r="C937" s="1">
        <v>45958.394930555602</v>
      </c>
      <c r="D937" s="3" t="s">
        <v>20</v>
      </c>
      <c r="E937" s="3" t="s">
        <v>24</v>
      </c>
      <c r="F937" s="3"/>
      <c r="G937" s="2">
        <v>9085</v>
      </c>
      <c r="H937" s="2" t="str">
        <f>VLOOKUP(G937,Produtos!A:B,2,FALSE)</f>
        <v>GUARANA CHP ANTARCT DIET LT350ML SHC/12</v>
      </c>
      <c r="I937" s="3" t="s">
        <v>491</v>
      </c>
      <c r="J93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8" spans="1:10" x14ac:dyDescent="0.25">
      <c r="A938">
        <v>937</v>
      </c>
      <c r="B938" s="1">
        <v>45958.395659722199</v>
      </c>
      <c r="C938" s="1">
        <v>45958.396030092597</v>
      </c>
      <c r="D938" s="3" t="s">
        <v>20</v>
      </c>
      <c r="E938" s="3" t="s">
        <v>24</v>
      </c>
      <c r="F938" s="3"/>
      <c r="G938" s="2">
        <v>9091</v>
      </c>
      <c r="H938" s="2" t="str">
        <f>VLOOKUP(G938,Produtos!A:B,2,FALSE)</f>
        <v>TONICA ANTARCTICA LT 350ML SH C/12 NPAL</v>
      </c>
      <c r="I938" s="3" t="s">
        <v>491</v>
      </c>
      <c r="J93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39" spans="1:10" x14ac:dyDescent="0.25">
      <c r="A939">
        <v>938</v>
      </c>
      <c r="B939" s="1">
        <v>45958.397349537001</v>
      </c>
      <c r="C939" s="1">
        <v>45958.3977662037</v>
      </c>
      <c r="D939" s="3" t="s">
        <v>20</v>
      </c>
      <c r="E939" s="3" t="s">
        <v>24</v>
      </c>
      <c r="F939" s="3"/>
      <c r="G939" s="2">
        <v>33818</v>
      </c>
      <c r="H939" s="2" t="str">
        <f>VLOOKUP(G939,Produtos!A:B,2,FALSE)</f>
        <v>ORIGINAL LT 350ML SH C/12 NP MULTIPACK</v>
      </c>
      <c r="I939" s="3" t="s">
        <v>491</v>
      </c>
      <c r="J93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0" spans="1:10" x14ac:dyDescent="0.25">
      <c r="A940">
        <v>939</v>
      </c>
      <c r="B940" s="1">
        <v>45958.399363425902</v>
      </c>
      <c r="C940" s="1">
        <v>45958.400000000001</v>
      </c>
      <c r="D940" s="3" t="s">
        <v>20</v>
      </c>
      <c r="E940" s="3" t="s">
        <v>26</v>
      </c>
      <c r="F940" s="3"/>
      <c r="G940" s="2">
        <v>9067</v>
      </c>
      <c r="H940" s="2" t="str">
        <f>VLOOKUP(G940,Produtos!A:B,2,FALSE)</f>
        <v>ANTARCTICA PILSEN LATA 350ML SH C/12 NPA</v>
      </c>
      <c r="I940" s="3" t="s">
        <v>491</v>
      </c>
      <c r="J94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1" spans="1:10" x14ac:dyDescent="0.25">
      <c r="A941">
        <v>940</v>
      </c>
      <c r="B941" s="1">
        <v>45959.385937500003</v>
      </c>
      <c r="C941" s="1">
        <v>45959.386400463001</v>
      </c>
      <c r="D941" s="3" t="s">
        <v>20</v>
      </c>
      <c r="E941" s="3" t="s">
        <v>24</v>
      </c>
      <c r="F941" s="3"/>
      <c r="G941" s="2">
        <v>9071</v>
      </c>
      <c r="H941" s="2" t="str">
        <f>VLOOKUP(G941,Produtos!A:B,2,FALSE)</f>
        <v>CARACU LATA 350ML SH C/12 NPAL</v>
      </c>
      <c r="I941" s="3" t="s">
        <v>491</v>
      </c>
      <c r="J94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2" spans="1:10" x14ac:dyDescent="0.25">
      <c r="A942">
        <v>941</v>
      </c>
      <c r="B942" s="1">
        <v>45959.391041666699</v>
      </c>
      <c r="C942" s="1">
        <v>45959.391550925902</v>
      </c>
      <c r="D942" s="3" t="s">
        <v>20</v>
      </c>
      <c r="E942" s="3" t="s">
        <v>21</v>
      </c>
      <c r="F942" s="3"/>
      <c r="G942" s="2">
        <v>14135</v>
      </c>
      <c r="H942" s="2" t="str">
        <f>VLOOKUP(G942,Produtos!A:B,2,FALSE)</f>
        <v>BUDWEISER LT 473ML SIX-PACK SH C/2 NPAL</v>
      </c>
      <c r="I942" s="3" t="s">
        <v>491</v>
      </c>
      <c r="J942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3" spans="1:10" x14ac:dyDescent="0.25">
      <c r="A943">
        <v>942</v>
      </c>
      <c r="B943" s="1">
        <v>45959.391655092601</v>
      </c>
      <c r="C943" s="1">
        <v>45959.3921990741</v>
      </c>
      <c r="D943" s="3" t="s">
        <v>18</v>
      </c>
      <c r="E943" s="3" t="s">
        <v>21</v>
      </c>
      <c r="F943" s="3"/>
      <c r="G943" s="2">
        <v>14135</v>
      </c>
      <c r="H943" s="2" t="str">
        <f>VLOOKUP(G943,Produtos!A:B,2,FALSE)</f>
        <v>BUDWEISER LT 473ML SIX-PACK SH C/2 NPAL</v>
      </c>
      <c r="I943" s="3" t="s">
        <v>493</v>
      </c>
      <c r="J943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4" spans="1:10" x14ac:dyDescent="0.25">
      <c r="A944">
        <v>943</v>
      </c>
      <c r="B944" s="1">
        <v>45960.530960648102</v>
      </c>
      <c r="C944" s="1">
        <v>45960.531435185199</v>
      </c>
      <c r="D944" s="3" t="s">
        <v>20</v>
      </c>
      <c r="E944" s="3" t="s">
        <v>26</v>
      </c>
      <c r="F944" s="3"/>
      <c r="G944" s="2">
        <v>17797</v>
      </c>
      <c r="H944" s="2" t="str">
        <f>VLOOKUP(G944,Produtos!A:B,2,FALSE)</f>
        <v>BRAHMA CHOPP LATA 350ML SH 18 MULTIPACK</v>
      </c>
      <c r="I944" s="3" t="s">
        <v>491</v>
      </c>
      <c r="J944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5" spans="1:10" x14ac:dyDescent="0.25">
      <c r="A945">
        <v>944</v>
      </c>
      <c r="B945" s="1">
        <v>45960.534293981502</v>
      </c>
      <c r="C945" s="1">
        <v>45960.535034722197</v>
      </c>
      <c r="D945" s="3" t="s">
        <v>20</v>
      </c>
      <c r="E945" s="3" t="s">
        <v>21</v>
      </c>
      <c r="F945" s="3"/>
      <c r="G945" s="2">
        <v>9274</v>
      </c>
      <c r="H945" s="2" t="str">
        <f>VLOOKUP(G945,Produtos!A:B,2,FALSE)</f>
        <v>PEPSI ZERO LATA 350ML SH C/12 NPAL</v>
      </c>
      <c r="I945" s="3" t="s">
        <v>491</v>
      </c>
      <c r="J945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6" spans="1:10" x14ac:dyDescent="0.25">
      <c r="A946">
        <v>945</v>
      </c>
      <c r="B946" s="1">
        <v>45960.535081018497</v>
      </c>
      <c r="C946" s="1">
        <v>45960.535717592596</v>
      </c>
      <c r="D946" s="3" t="s">
        <v>20</v>
      </c>
      <c r="E946" s="3" t="s">
        <v>24</v>
      </c>
      <c r="F946" s="3"/>
      <c r="G946" s="2">
        <v>23216</v>
      </c>
      <c r="H946" s="2" t="str">
        <f>VLOOKUP(G946,Produtos!A:B,2,FALSE)</f>
        <v>PATAGONIA IPA LATA 473ML 6PACK CARTAO</v>
      </c>
      <c r="I946" s="3" t="s">
        <v>491</v>
      </c>
      <c r="J946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7" spans="1:10" x14ac:dyDescent="0.25">
      <c r="A947">
        <v>946</v>
      </c>
      <c r="B947" s="1">
        <v>45960.616851851897</v>
      </c>
      <c r="C947" s="1">
        <v>45960.617488425902</v>
      </c>
      <c r="D947" s="3" t="s">
        <v>18</v>
      </c>
      <c r="E947" s="3" t="s">
        <v>24</v>
      </c>
      <c r="F947" s="3"/>
      <c r="G947" s="2">
        <v>21119</v>
      </c>
      <c r="H947" s="2" t="str">
        <f>VLOOKUP(G947,Produtos!A:B,2,FALSE)</f>
        <v>SKOL BEATS GT LT 269ML CX CAR C/8</v>
      </c>
      <c r="I947" s="3" t="s">
        <v>493</v>
      </c>
      <c r="J947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8" spans="1:10" x14ac:dyDescent="0.25">
      <c r="A948">
        <v>947</v>
      </c>
      <c r="B948" s="1">
        <v>45960.617511574099</v>
      </c>
      <c r="C948" s="1">
        <v>45960.618032407401</v>
      </c>
      <c r="D948" s="3" t="s">
        <v>18</v>
      </c>
      <c r="E948" s="3" t="s">
        <v>24</v>
      </c>
      <c r="F948" s="3"/>
      <c r="G948" s="2">
        <v>26462</v>
      </c>
      <c r="H948" s="2" t="str">
        <f>VLOOKUP(G948,Produtos!A:B,2,FALSE)</f>
        <v>ORIGINAL LT 473ML CX CARTAO C/12</v>
      </c>
      <c r="I948" s="3" t="s">
        <v>493</v>
      </c>
      <c r="J948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49" spans="1:10" x14ac:dyDescent="0.25">
      <c r="A949">
        <v>948</v>
      </c>
      <c r="B949" s="1">
        <v>45960.6180439815</v>
      </c>
      <c r="C949" s="1">
        <v>45960.619004629603</v>
      </c>
      <c r="D949" s="3" t="s">
        <v>18</v>
      </c>
      <c r="E949" s="3" t="s">
        <v>24</v>
      </c>
      <c r="F949" s="3"/>
      <c r="G949" s="2">
        <v>9085</v>
      </c>
      <c r="H949" s="2" t="str">
        <f>VLOOKUP(G949,Produtos!A:B,2,FALSE)</f>
        <v>GUARANA CHP ANTARCT DIET LT350ML SHC/12</v>
      </c>
      <c r="I949" s="3" t="s">
        <v>493</v>
      </c>
      <c r="J949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50" spans="1:10" x14ac:dyDescent="0.25">
      <c r="A950">
        <v>949</v>
      </c>
      <c r="B950" s="1">
        <v>45961.288124999999</v>
      </c>
      <c r="C950" s="1">
        <v>45961.288576388899</v>
      </c>
      <c r="D950" s="3" t="s">
        <v>20</v>
      </c>
      <c r="E950" s="3" t="s">
        <v>24</v>
      </c>
      <c r="F950" s="3"/>
      <c r="G950" s="2">
        <v>21658</v>
      </c>
      <c r="H950" s="2" t="str">
        <f>VLOOKUP(G950,Produtos!A:B,2,FALSE)</f>
        <v>SPATEN N LT SLEEK 350ML CX CART C12</v>
      </c>
      <c r="I950" s="3" t="s">
        <v>491</v>
      </c>
      <c r="J950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51" spans="1:10" x14ac:dyDescent="0.25">
      <c r="A951">
        <v>950</v>
      </c>
      <c r="B951" s="1">
        <v>45961.4079166667</v>
      </c>
      <c r="C951" s="1">
        <v>45961.408460648097</v>
      </c>
      <c r="D951" s="3" t="s">
        <v>20</v>
      </c>
      <c r="E951" s="3" t="s">
        <v>24</v>
      </c>
      <c r="F951" s="3"/>
      <c r="G951" s="2">
        <v>20498</v>
      </c>
      <c r="H951" s="2" t="str">
        <f>VLOOKUP(G951,Produtos!A:B,2,FALSE)</f>
        <v>BRAHMA DUPLO MALTE LT SLEEK 350ML SH C12</v>
      </c>
      <c r="I951" s="3" t="s">
        <v>491</v>
      </c>
      <c r="J951" s="1" t="str">
        <f>YEAR(Table1[[#This Row],[Hora de início]])&amp;"/"&amp;IF(MONTH(Table1[[#This Row],[Hora de início]])&lt;10,"0"&amp;MONTH(Table1[[#This Row],[Hora de início]]),MONTH(Table1[[#This Row],[Hora de início]]))</f>
        <v>2025/10</v>
      </c>
    </row>
    <row r="952" spans="1:10" x14ac:dyDescent="0.25">
      <c r="A952">
        <v>951</v>
      </c>
      <c r="B952" s="1">
        <v>45962.264594907399</v>
      </c>
      <c r="C952" s="1">
        <v>45962.265162037002</v>
      </c>
      <c r="D952" s="3" t="s">
        <v>18</v>
      </c>
      <c r="E952" s="3" t="s">
        <v>24</v>
      </c>
      <c r="F952" s="3"/>
      <c r="G952" s="2">
        <v>14135</v>
      </c>
      <c r="H952" s="2" t="str">
        <f>VLOOKUP(G952,Produtos!A:B,2,FALSE)</f>
        <v>BUDWEISER LT 473ML SIX-PACK SH C/2 NPAL</v>
      </c>
      <c r="I952" s="3" t="s">
        <v>493</v>
      </c>
      <c r="J9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3" spans="1:10" x14ac:dyDescent="0.25">
      <c r="A953">
        <v>952</v>
      </c>
      <c r="B953" s="1">
        <v>45962.267384259299</v>
      </c>
      <c r="C953" s="1">
        <v>45962.267939814803</v>
      </c>
      <c r="D953" s="3" t="s">
        <v>18</v>
      </c>
      <c r="E953" s="3" t="s">
        <v>21</v>
      </c>
      <c r="F953" s="3"/>
      <c r="G953" s="2">
        <v>9084</v>
      </c>
      <c r="H953" s="2" t="str">
        <f>VLOOKUP(G953,Produtos!A:B,2,FALSE)</f>
        <v>GUARANA CHP ANTARCT LT350ML SH C/12 NPAL</v>
      </c>
      <c r="I953" s="3" t="s">
        <v>493</v>
      </c>
      <c r="J9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4" spans="1:10" x14ac:dyDescent="0.25">
      <c r="A954">
        <v>953</v>
      </c>
      <c r="B954" s="1">
        <v>45962.269201388903</v>
      </c>
      <c r="C954" s="1">
        <v>45962.269699074102</v>
      </c>
      <c r="D954" s="3" t="s">
        <v>18</v>
      </c>
      <c r="E954" s="3" t="s">
        <v>21</v>
      </c>
      <c r="F954" s="3"/>
      <c r="G954" s="2">
        <v>19310</v>
      </c>
      <c r="H954" s="2" t="str">
        <f>VLOOKUP(G954,Produtos!A:B,2,FALSE)</f>
        <v>ORIGINAL LATA 350ML CX CARTAO C/12 NPAL</v>
      </c>
      <c r="I954" s="3" t="s">
        <v>494</v>
      </c>
      <c r="J9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5" spans="1:10" x14ac:dyDescent="0.25">
      <c r="A955">
        <v>954</v>
      </c>
      <c r="B955" s="1">
        <v>45962.368831018503</v>
      </c>
      <c r="C955" s="1">
        <v>45962.369444444397</v>
      </c>
      <c r="D955" s="3" t="s">
        <v>8</v>
      </c>
      <c r="E955" s="3" t="s">
        <v>19</v>
      </c>
      <c r="F955" s="3"/>
      <c r="G955" s="3"/>
      <c r="H955" s="3" t="e">
        <f>VLOOKUP(G955,Produtos!A:B,2,FALSE)</f>
        <v>#N/A</v>
      </c>
      <c r="I955" s="3" t="s">
        <v>505</v>
      </c>
      <c r="J9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6" spans="1:10" x14ac:dyDescent="0.25">
      <c r="A956">
        <v>955</v>
      </c>
      <c r="B956" s="1">
        <v>45964.449398148099</v>
      </c>
      <c r="C956" s="1">
        <v>45964.449872685203</v>
      </c>
      <c r="D956" s="3" t="s">
        <v>20</v>
      </c>
      <c r="E956" s="3" t="s">
        <v>24</v>
      </c>
      <c r="F956" s="3"/>
      <c r="G956" s="2">
        <v>9068</v>
      </c>
      <c r="H956" s="2" t="str">
        <f>VLOOKUP(G956,Produtos!A:B,2,FALSE)</f>
        <v>SKOL LATA 350ML SH C/12 NPAL</v>
      </c>
      <c r="I956" s="3" t="s">
        <v>491</v>
      </c>
      <c r="J9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7" spans="1:10" x14ac:dyDescent="0.25">
      <c r="A957">
        <v>956</v>
      </c>
      <c r="B957" s="1">
        <v>45964.449976851902</v>
      </c>
      <c r="C957" s="1">
        <v>45964.450486111098</v>
      </c>
      <c r="D957" s="3" t="s">
        <v>20</v>
      </c>
      <c r="E957" s="3" t="s">
        <v>24</v>
      </c>
      <c r="F957" s="3"/>
      <c r="G957" s="2">
        <v>21020</v>
      </c>
      <c r="H957" s="2" t="str">
        <f>VLOOKUP(G957,Produtos!A:B,2,FALSE)</f>
        <v>BUDWEISER LT SLEEK 350ML CX CART C12</v>
      </c>
      <c r="I957" s="3" t="s">
        <v>491</v>
      </c>
      <c r="J9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8" spans="1:10" x14ac:dyDescent="0.25">
      <c r="A958">
        <v>957</v>
      </c>
      <c r="B958" s="1">
        <v>45964.452685185199</v>
      </c>
      <c r="C958" s="1">
        <v>45964.453101851803</v>
      </c>
      <c r="D958" s="3" t="s">
        <v>20</v>
      </c>
      <c r="E958" s="3" t="s">
        <v>24</v>
      </c>
      <c r="F958" s="3"/>
      <c r="G958" s="2">
        <v>20498</v>
      </c>
      <c r="H958" s="2" t="str">
        <f>VLOOKUP(G958,Produtos!A:B,2,FALSE)</f>
        <v>BRAHMA DUPLO MALTE LT SLEEK 350ML SH C12</v>
      </c>
      <c r="I958" s="3" t="s">
        <v>491</v>
      </c>
      <c r="J9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59" spans="1:10" x14ac:dyDescent="0.25">
      <c r="A959">
        <v>958</v>
      </c>
      <c r="B959" s="1">
        <v>45965.620509259301</v>
      </c>
      <c r="C959" s="1">
        <v>45965.621111111097</v>
      </c>
      <c r="D959" s="3" t="s">
        <v>18</v>
      </c>
      <c r="E959" s="3" t="s">
        <v>24</v>
      </c>
      <c r="F959" s="3"/>
      <c r="G959" s="2">
        <v>1164</v>
      </c>
      <c r="H959" s="2" t="str">
        <f>VLOOKUP(G959,Produtos!A:B,2,FALSE)</f>
        <v>SUKITA UVA LATA 350ML SH C/12 NPAL</v>
      </c>
      <c r="I959" s="3" t="s">
        <v>493</v>
      </c>
      <c r="J9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0" spans="1:10" x14ac:dyDescent="0.25">
      <c r="A960">
        <v>959</v>
      </c>
      <c r="B960" s="1">
        <v>45965.621145833298</v>
      </c>
      <c r="C960" s="1">
        <v>45965.621712963002</v>
      </c>
      <c r="D960" s="3" t="s">
        <v>18</v>
      </c>
      <c r="E960" s="3" t="s">
        <v>34</v>
      </c>
      <c r="F960" s="3"/>
      <c r="G960" s="2">
        <v>18807</v>
      </c>
      <c r="H960" s="2" t="str">
        <f>VLOOKUP(G960,Produtos!A:B,2,FALSE)</f>
        <v>STELLA ARTOIS LN 330ML 6PACK SHR C 4</v>
      </c>
      <c r="I960" s="3" t="s">
        <v>493</v>
      </c>
      <c r="J9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1" spans="1:10" x14ac:dyDescent="0.25">
      <c r="A961">
        <v>960</v>
      </c>
      <c r="B961" s="1">
        <v>45966.191747685203</v>
      </c>
      <c r="C961" s="1">
        <v>45966.192916666703</v>
      </c>
      <c r="D961" s="3" t="s">
        <v>27</v>
      </c>
      <c r="E961" s="3" t="s">
        <v>24</v>
      </c>
      <c r="F961" s="3"/>
      <c r="G961" s="2">
        <v>22177</v>
      </c>
      <c r="H961" s="2" t="str">
        <f>VLOOKUP(G961,Produtos!A:B,2,FALSE)</f>
        <v>BUDWEISER ZERO LT SLEEK 350ML C8 CX CART</v>
      </c>
      <c r="I961" s="3" t="s">
        <v>493</v>
      </c>
      <c r="J9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2" spans="1:10" x14ac:dyDescent="0.25">
      <c r="A962">
        <v>961</v>
      </c>
      <c r="B962" s="1">
        <v>45966.194722222201</v>
      </c>
      <c r="C962" s="1">
        <v>45966.195694444403</v>
      </c>
      <c r="D962" s="3" t="s">
        <v>27</v>
      </c>
      <c r="E962" s="3" t="s">
        <v>24</v>
      </c>
      <c r="F962" s="3"/>
      <c r="G962" s="2">
        <v>9083</v>
      </c>
      <c r="H962" s="2" t="str">
        <f>VLOOKUP(G962,Produtos!A:B,2,FALSE)</f>
        <v>SKOL LT 473ML SH C/12 NPAL</v>
      </c>
      <c r="I962" s="3" t="s">
        <v>493</v>
      </c>
      <c r="J9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3" spans="1:10" x14ac:dyDescent="0.25">
      <c r="A963">
        <v>962</v>
      </c>
      <c r="B963" s="1">
        <v>45966.321678240703</v>
      </c>
      <c r="C963" s="1">
        <v>45966.322152777801</v>
      </c>
      <c r="D963" s="3" t="s">
        <v>18</v>
      </c>
      <c r="E963" s="3" t="s">
        <v>24</v>
      </c>
      <c r="F963" s="3"/>
      <c r="G963" s="2">
        <v>21020</v>
      </c>
      <c r="H963" s="2" t="str">
        <f>VLOOKUP(G963,Produtos!A:B,2,FALSE)</f>
        <v>BUDWEISER LT SLEEK 350ML CX CART C12</v>
      </c>
      <c r="I963" s="3" t="s">
        <v>493</v>
      </c>
      <c r="J9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4" spans="1:10" x14ac:dyDescent="0.25">
      <c r="A964">
        <v>963</v>
      </c>
      <c r="B964" s="1">
        <v>45966.321851851797</v>
      </c>
      <c r="C964" s="1">
        <v>45966.322233796302</v>
      </c>
      <c r="D964" s="3" t="s">
        <v>20</v>
      </c>
      <c r="E964" s="3" t="s">
        <v>24</v>
      </c>
      <c r="F964" s="3"/>
      <c r="G964" s="2">
        <v>9096</v>
      </c>
      <c r="H964" s="2" t="str">
        <f>VLOOKUP(G964,Produtos!A:B,2,FALSE)</f>
        <v>PEPSI COLA LATA 350ML SH C/12 NPAL</v>
      </c>
      <c r="I964" s="3" t="s">
        <v>491</v>
      </c>
      <c r="J9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5" spans="1:10" x14ac:dyDescent="0.25">
      <c r="A965">
        <v>964</v>
      </c>
      <c r="B965" s="1">
        <v>45966.323043981502</v>
      </c>
      <c r="C965" s="1">
        <v>45966.323506944398</v>
      </c>
      <c r="D965" s="3" t="s">
        <v>20</v>
      </c>
      <c r="E965" s="3" t="s">
        <v>24</v>
      </c>
      <c r="F965" s="3"/>
      <c r="G965" s="2">
        <v>9084</v>
      </c>
      <c r="H965" s="2" t="str">
        <f>VLOOKUP(G965,Produtos!A:B,2,FALSE)</f>
        <v>GUARANA CHP ANTARCT LT350ML SH C/12 NPAL</v>
      </c>
      <c r="I965" s="3" t="s">
        <v>491</v>
      </c>
      <c r="J9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6" spans="1:10" x14ac:dyDescent="0.25">
      <c r="A966">
        <v>965</v>
      </c>
      <c r="B966" s="1">
        <v>45966.325532407398</v>
      </c>
      <c r="C966" s="1">
        <v>45966.326030092598</v>
      </c>
      <c r="D966" s="3" t="s">
        <v>20</v>
      </c>
      <c r="E966" s="3" t="s">
        <v>21</v>
      </c>
      <c r="F966" s="3"/>
      <c r="G966" s="2">
        <v>9069</v>
      </c>
      <c r="H966" s="2" t="str">
        <f>VLOOKUP(G966,Produtos!A:B,2,FALSE)</f>
        <v>BRAHMA CHOPP LATA 350ML SH C/12 NPAL</v>
      </c>
      <c r="I966" s="3" t="s">
        <v>491</v>
      </c>
      <c r="J9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7" spans="1:10" x14ac:dyDescent="0.25">
      <c r="A967">
        <v>966</v>
      </c>
      <c r="B967" s="1">
        <v>45966.325578703698</v>
      </c>
      <c r="C967" s="1">
        <v>45966.326134259303</v>
      </c>
      <c r="D967" s="3" t="s">
        <v>18</v>
      </c>
      <c r="E967" s="3" t="s">
        <v>26</v>
      </c>
      <c r="F967" s="3"/>
      <c r="G967" s="2">
        <v>9067</v>
      </c>
      <c r="H967" s="2" t="str">
        <f>VLOOKUP(G967,Produtos!A:B,2,FALSE)</f>
        <v>ANTARCTICA PILSEN LATA 350ML SH C/12 NPA</v>
      </c>
      <c r="I967" s="3" t="s">
        <v>493</v>
      </c>
      <c r="J9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8" spans="1:10" x14ac:dyDescent="0.25">
      <c r="A968">
        <v>967</v>
      </c>
      <c r="B968" s="1">
        <v>45966.326932870397</v>
      </c>
      <c r="C968" s="1">
        <v>45966.3274537037</v>
      </c>
      <c r="D968" s="3" t="s">
        <v>20</v>
      </c>
      <c r="E968" s="3" t="s">
        <v>21</v>
      </c>
      <c r="F968" s="3"/>
      <c r="G968" s="2">
        <v>9320</v>
      </c>
      <c r="H968" s="2" t="str">
        <f>VLOOKUP(G968,Produtos!A:B,2,FALSE)</f>
        <v>BRAHMA CHOPP LT 473ML SH C/12 NPAL</v>
      </c>
      <c r="I968" s="3" t="s">
        <v>492</v>
      </c>
      <c r="J9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69" spans="1:10" x14ac:dyDescent="0.25">
      <c r="A969">
        <v>968</v>
      </c>
      <c r="B969" s="1">
        <v>45966.328379629602</v>
      </c>
      <c r="C969" s="1">
        <v>45966.328819444403</v>
      </c>
      <c r="D969" s="3" t="s">
        <v>20</v>
      </c>
      <c r="E969" s="3" t="s">
        <v>21</v>
      </c>
      <c r="F969" s="3"/>
      <c r="G969" s="2">
        <v>9069</v>
      </c>
      <c r="H969" s="2" t="str">
        <f>VLOOKUP(G969,Produtos!A:B,2,FALSE)</f>
        <v>BRAHMA CHOPP LATA 350ML SH C/12 NPAL</v>
      </c>
      <c r="I969" s="3" t="s">
        <v>491</v>
      </c>
      <c r="J9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0" spans="1:10" x14ac:dyDescent="0.25">
      <c r="A970">
        <v>969</v>
      </c>
      <c r="B970" s="1">
        <v>45966.338668981502</v>
      </c>
      <c r="C970" s="1">
        <v>45966.339143518497</v>
      </c>
      <c r="D970" s="3" t="s">
        <v>20</v>
      </c>
      <c r="E970" s="3" t="s">
        <v>24</v>
      </c>
      <c r="F970" s="3"/>
      <c r="G970" s="2">
        <v>9071</v>
      </c>
      <c r="H970" s="2" t="str">
        <f>VLOOKUP(G970,Produtos!A:B,2,FALSE)</f>
        <v>CARACU LATA 350ML SH C/12 NPAL</v>
      </c>
      <c r="I970" s="3" t="s">
        <v>491</v>
      </c>
      <c r="J9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1" spans="1:10" x14ac:dyDescent="0.25">
      <c r="A971">
        <v>970</v>
      </c>
      <c r="B971" s="1">
        <v>45966.342187499999</v>
      </c>
      <c r="C971" s="1">
        <v>45966.342557870397</v>
      </c>
      <c r="D971" s="3" t="s">
        <v>20</v>
      </c>
      <c r="E971" s="3" t="s">
        <v>24</v>
      </c>
      <c r="F971" s="3"/>
      <c r="G971" s="2">
        <v>9071</v>
      </c>
      <c r="H971" s="2" t="str">
        <f>VLOOKUP(G971,Produtos!A:B,2,FALSE)</f>
        <v>CARACU LATA 350ML SH C/12 NPAL</v>
      </c>
      <c r="I971" s="3" t="s">
        <v>491</v>
      </c>
      <c r="J9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2" spans="1:10" x14ac:dyDescent="0.25">
      <c r="A972">
        <v>971</v>
      </c>
      <c r="B972" s="1">
        <v>45966.608796296299</v>
      </c>
      <c r="C972" s="1">
        <v>45966.609351851803</v>
      </c>
      <c r="D972" s="3" t="s">
        <v>18</v>
      </c>
      <c r="E972" s="3" t="s">
        <v>24</v>
      </c>
      <c r="F972" s="3"/>
      <c r="G972" s="2">
        <v>9071</v>
      </c>
      <c r="H972" s="2" t="str">
        <f>VLOOKUP(G972,Produtos!A:B,2,FALSE)</f>
        <v>CARACU LATA 350ML SH C/12 NPAL</v>
      </c>
      <c r="I972" s="3" t="s">
        <v>493</v>
      </c>
      <c r="J9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3" spans="1:10" x14ac:dyDescent="0.25">
      <c r="A973">
        <v>972</v>
      </c>
      <c r="B973" s="1">
        <v>45966.609409722201</v>
      </c>
      <c r="C973" s="1">
        <v>45966.6100462963</v>
      </c>
      <c r="D973" s="3" t="s">
        <v>18</v>
      </c>
      <c r="E973" s="3" t="s">
        <v>26</v>
      </c>
      <c r="F973" s="3"/>
      <c r="G973" s="2">
        <v>9069</v>
      </c>
      <c r="H973" s="2" t="str">
        <f>VLOOKUP(G973,Produtos!A:B,2,FALSE)</f>
        <v>BRAHMA CHOPP LATA 350ML SH C/12 NPAL</v>
      </c>
      <c r="I973" s="3" t="s">
        <v>493</v>
      </c>
      <c r="J9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4" spans="1:10" x14ac:dyDescent="0.25">
      <c r="A974">
        <v>973</v>
      </c>
      <c r="B974" s="1">
        <v>45966.610069444403</v>
      </c>
      <c r="C974" s="1">
        <v>45966.610787037003</v>
      </c>
      <c r="D974" s="3" t="s">
        <v>18</v>
      </c>
      <c r="E974" s="3" t="s">
        <v>26</v>
      </c>
      <c r="F974" s="3"/>
      <c r="G974" s="2">
        <v>26699</v>
      </c>
      <c r="H974" s="2" t="str">
        <f>VLOOKUP(G974,Produtos!A:B,2,FALSE)</f>
        <v>GUAR. CHP ANT PET 2,25L SH C6 250ML GRAT</v>
      </c>
      <c r="I974" s="3" t="s">
        <v>493</v>
      </c>
      <c r="J9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5" spans="1:10" x14ac:dyDescent="0.25">
      <c r="A975">
        <v>974</v>
      </c>
      <c r="B975" s="1">
        <v>45967.384583333303</v>
      </c>
      <c r="C975" s="1">
        <v>45967.385081018503</v>
      </c>
      <c r="D975" s="3" t="s">
        <v>18</v>
      </c>
      <c r="E975" s="3" t="s">
        <v>24</v>
      </c>
      <c r="F975" s="3"/>
      <c r="G975" s="2">
        <v>17797</v>
      </c>
      <c r="H975" s="2" t="str">
        <f>VLOOKUP(G975,Produtos!A:B,2,FALSE)</f>
        <v>BRAHMA CHOPP LATA 350ML SH 18 MULTIPACK</v>
      </c>
      <c r="I975" s="3" t="s">
        <v>493</v>
      </c>
      <c r="J9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6" spans="1:10" x14ac:dyDescent="0.25">
      <c r="A976">
        <v>975</v>
      </c>
      <c r="B976" s="1">
        <v>45967.387372685203</v>
      </c>
      <c r="C976" s="1">
        <v>45967.388055555602</v>
      </c>
      <c r="D976" s="3" t="s">
        <v>20</v>
      </c>
      <c r="E976" s="3" t="s">
        <v>26</v>
      </c>
      <c r="F976" s="3"/>
      <c r="G976" s="2">
        <v>9069</v>
      </c>
      <c r="H976" s="2" t="str">
        <f>VLOOKUP(G976,Produtos!A:B,2,FALSE)</f>
        <v>BRAHMA CHOPP LATA 350ML SH C/12 NPAL</v>
      </c>
      <c r="I976" s="3" t="s">
        <v>491</v>
      </c>
      <c r="J9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7" spans="1:10" x14ac:dyDescent="0.25">
      <c r="A977">
        <v>976</v>
      </c>
      <c r="B977" s="1">
        <v>45967.390509259298</v>
      </c>
      <c r="C977" s="1">
        <v>45967.391018518501</v>
      </c>
      <c r="D977" s="3" t="s">
        <v>20</v>
      </c>
      <c r="E977" s="3" t="s">
        <v>21</v>
      </c>
      <c r="F977" s="3"/>
      <c r="G977" s="2">
        <v>1166</v>
      </c>
      <c r="H977" s="2" t="str">
        <f>VLOOKUP(G977,Produtos!A:B,2,FALSE)</f>
        <v>SUKITA UVA PET 2L CAIXA C/6</v>
      </c>
      <c r="I977" s="3" t="s">
        <v>491</v>
      </c>
      <c r="J9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8" spans="1:10" x14ac:dyDescent="0.25">
      <c r="A978">
        <v>977</v>
      </c>
      <c r="B978" s="1">
        <v>45968.356342592597</v>
      </c>
      <c r="C978" s="1">
        <v>45968.356782407398</v>
      </c>
      <c r="D978" s="3" t="s">
        <v>20</v>
      </c>
      <c r="E978" s="3" t="s">
        <v>26</v>
      </c>
      <c r="F978" s="3"/>
      <c r="G978" s="2">
        <v>9068</v>
      </c>
      <c r="H978" s="2" t="str">
        <f>VLOOKUP(G978,Produtos!A:B,2,FALSE)</f>
        <v>SKOL LATA 350ML SH C/12 NPAL</v>
      </c>
      <c r="I978" s="3" t="s">
        <v>491</v>
      </c>
      <c r="J9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79" spans="1:10" x14ac:dyDescent="0.25">
      <c r="A979">
        <v>978</v>
      </c>
      <c r="B979" s="1">
        <v>45968.358645833301</v>
      </c>
      <c r="C979" s="1">
        <v>45968.359050925901</v>
      </c>
      <c r="D979" s="3" t="s">
        <v>20</v>
      </c>
      <c r="E979" s="3" t="s">
        <v>24</v>
      </c>
      <c r="F979" s="3"/>
      <c r="G979" s="2">
        <v>9092</v>
      </c>
      <c r="H979" s="2" t="str">
        <f>VLOOKUP(G979,Produtos!A:B,2,FALSE)</f>
        <v>TONICA ANTARCTICA DIET LT350MLSHC/12 PAL</v>
      </c>
      <c r="I979" s="3" t="s">
        <v>491</v>
      </c>
      <c r="J9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0" spans="1:10" x14ac:dyDescent="0.25">
      <c r="A980">
        <v>979</v>
      </c>
      <c r="B980" s="1">
        <v>45968.3594675926</v>
      </c>
      <c r="C980" s="1">
        <v>45968.3598726852</v>
      </c>
      <c r="D980" s="3" t="s">
        <v>20</v>
      </c>
      <c r="E980" s="3" t="s">
        <v>24</v>
      </c>
      <c r="F980" s="3"/>
      <c r="G980" s="2">
        <v>9083</v>
      </c>
      <c r="H980" s="2" t="str">
        <f>VLOOKUP(G980,Produtos!A:B,2,FALSE)</f>
        <v>SKOL LT 473ML SH C/12 NPAL</v>
      </c>
      <c r="I980" s="3" t="s">
        <v>491</v>
      </c>
      <c r="J9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1" spans="1:10" x14ac:dyDescent="0.25">
      <c r="A981">
        <v>980</v>
      </c>
      <c r="B981" s="1">
        <v>45968.362418981502</v>
      </c>
      <c r="C981" s="1">
        <v>45968.362916666701</v>
      </c>
      <c r="D981" s="3" t="s">
        <v>20</v>
      </c>
      <c r="E981" s="3" t="s">
        <v>26</v>
      </c>
      <c r="F981" s="3"/>
      <c r="G981" s="2">
        <v>9069</v>
      </c>
      <c r="H981" s="2" t="str">
        <f>VLOOKUP(G981,Produtos!A:B,2,FALSE)</f>
        <v>BRAHMA CHOPP LATA 350ML SH C/12 NPAL</v>
      </c>
      <c r="I981" s="3" t="s">
        <v>491</v>
      </c>
      <c r="J9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2" spans="1:10" x14ac:dyDescent="0.25">
      <c r="A982">
        <v>981</v>
      </c>
      <c r="B982" s="1">
        <v>45968.364259259302</v>
      </c>
      <c r="C982" s="1">
        <v>45968.364733796298</v>
      </c>
      <c r="D982" s="3" t="s">
        <v>20</v>
      </c>
      <c r="E982" s="3" t="s">
        <v>21</v>
      </c>
      <c r="F982" s="3"/>
      <c r="G982" s="2">
        <v>19310</v>
      </c>
      <c r="H982" s="2" t="str">
        <f>VLOOKUP(G982,Produtos!A:B,2,FALSE)</f>
        <v>ORIGINAL LATA 350ML CX CARTAO C/12 NPAL</v>
      </c>
      <c r="I982" s="3" t="s">
        <v>491</v>
      </c>
      <c r="J9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3" spans="1:10" x14ac:dyDescent="0.25">
      <c r="A983">
        <v>982</v>
      </c>
      <c r="B983" s="1">
        <v>45969.268900463001</v>
      </c>
      <c r="C983" s="1">
        <v>45969.269895833299</v>
      </c>
      <c r="D983" s="3" t="s">
        <v>20</v>
      </c>
      <c r="E983" s="3" t="s">
        <v>24</v>
      </c>
      <c r="F983" s="3"/>
      <c r="G983" s="2">
        <v>9088</v>
      </c>
      <c r="H983" s="2" t="str">
        <f>VLOOKUP(G983,Produtos!A:B,2,FALSE)</f>
        <v>SODA LIMONADA ANTARCT DIET LT350MLSHC/12</v>
      </c>
      <c r="I983" s="3" t="s">
        <v>501</v>
      </c>
      <c r="J9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4" spans="1:10" x14ac:dyDescent="0.25">
      <c r="A984">
        <v>983</v>
      </c>
      <c r="B984" s="1">
        <v>45969.269942129598</v>
      </c>
      <c r="C984" s="1">
        <v>45969.270590277803</v>
      </c>
      <c r="D984" s="3" t="s">
        <v>20</v>
      </c>
      <c r="E984" s="3" t="s">
        <v>24</v>
      </c>
      <c r="F984" s="3"/>
      <c r="G984" s="2">
        <v>34608</v>
      </c>
      <c r="H984" s="2" t="str">
        <f>VLOOKUP(G984,Produtos!A:B,2,FALSE)</f>
        <v>SKOL LATA 350ML SH C/12 MULTIPAK</v>
      </c>
      <c r="I984" s="3" t="s">
        <v>492</v>
      </c>
      <c r="J9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5" spans="1:10" x14ac:dyDescent="0.25">
      <c r="A985">
        <v>984</v>
      </c>
      <c r="B985" s="1">
        <v>45969.276747685202</v>
      </c>
      <c r="C985" s="1">
        <v>45969.277418981503</v>
      </c>
      <c r="D985" s="3" t="s">
        <v>18</v>
      </c>
      <c r="E985" s="3" t="s">
        <v>24</v>
      </c>
      <c r="F985" s="3"/>
      <c r="G985" s="2">
        <v>33734</v>
      </c>
      <c r="H985" s="2" t="str">
        <f>VLOOKUP(G985,Produtos!A:B,2,FALSE)</f>
        <v>BEATS RED MIX LT 269ML SH C/8</v>
      </c>
      <c r="I985" s="3" t="s">
        <v>493</v>
      </c>
      <c r="J9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6" spans="1:10" x14ac:dyDescent="0.25">
      <c r="A986">
        <v>985</v>
      </c>
      <c r="B986" s="1">
        <v>45969.277534722198</v>
      </c>
      <c r="C986" s="1">
        <v>45969.278229166703</v>
      </c>
      <c r="D986" s="3" t="s">
        <v>20</v>
      </c>
      <c r="E986" s="3" t="s">
        <v>24</v>
      </c>
      <c r="F986" s="3"/>
      <c r="G986" s="2">
        <v>35617</v>
      </c>
      <c r="H986" s="2" t="e">
        <f>VLOOKUP(G986,Produtos!A:B,2,FALSE)</f>
        <v>#N/A</v>
      </c>
      <c r="I986" s="3" t="s">
        <v>491</v>
      </c>
      <c r="J9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7" spans="1:10" x14ac:dyDescent="0.25">
      <c r="A987">
        <v>986</v>
      </c>
      <c r="B987" s="1">
        <v>45969.2821064815</v>
      </c>
      <c r="C987" s="1">
        <v>45969.2828703704</v>
      </c>
      <c r="D987" s="3" t="s">
        <v>18</v>
      </c>
      <c r="E987" s="3" t="s">
        <v>24</v>
      </c>
      <c r="F987" s="3"/>
      <c r="G987" s="2">
        <v>18807</v>
      </c>
      <c r="H987" s="2" t="str">
        <f>VLOOKUP(G987,Produtos!A:B,2,FALSE)</f>
        <v>STELLA ARTOIS LN 330ML 6PACK SHR C 4</v>
      </c>
      <c r="I987" s="3" t="s">
        <v>493</v>
      </c>
      <c r="J9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8" spans="1:10" x14ac:dyDescent="0.25">
      <c r="A988">
        <v>987</v>
      </c>
      <c r="B988" s="1">
        <v>45969.2825578704</v>
      </c>
      <c r="C988" s="1">
        <v>45969.283206018503</v>
      </c>
      <c r="D988" s="3" t="s">
        <v>20</v>
      </c>
      <c r="E988" s="3" t="s">
        <v>21</v>
      </c>
      <c r="F988" s="3"/>
      <c r="G988" s="2">
        <v>9089</v>
      </c>
      <c r="H988" s="2" t="str">
        <f>VLOOKUP(G988,Produtos!A:B,2,FALSE)</f>
        <v>SUKITA LATA 350ML SH C/12 NPAL</v>
      </c>
      <c r="I988" s="3" t="s">
        <v>491</v>
      </c>
      <c r="J9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89" spans="1:10" x14ac:dyDescent="0.25">
      <c r="A989">
        <v>988</v>
      </c>
      <c r="B989" s="1">
        <v>45971.362650463001</v>
      </c>
      <c r="C989" s="1">
        <v>45971.363182870402</v>
      </c>
      <c r="D989" s="3" t="s">
        <v>18</v>
      </c>
      <c r="E989" s="3" t="s">
        <v>26</v>
      </c>
      <c r="F989" s="3"/>
      <c r="G989" s="2">
        <v>17797</v>
      </c>
      <c r="H989" s="2" t="str">
        <f>VLOOKUP(G989,Produtos!A:B,2,FALSE)</f>
        <v>BRAHMA CHOPP LATA 350ML SH 18 MULTIPACK</v>
      </c>
      <c r="I989" s="3" t="s">
        <v>493</v>
      </c>
      <c r="J98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0" spans="1:10" x14ac:dyDescent="0.25">
      <c r="A990">
        <v>989</v>
      </c>
      <c r="B990" s="1">
        <v>45971.362939814797</v>
      </c>
      <c r="C990" s="1">
        <v>45971.363344907397</v>
      </c>
      <c r="D990" s="3" t="s">
        <v>20</v>
      </c>
      <c r="E990" s="3" t="s">
        <v>26</v>
      </c>
      <c r="F990" s="3"/>
      <c r="G990" s="2">
        <v>17797</v>
      </c>
      <c r="H990" s="2" t="str">
        <f>VLOOKUP(G990,Produtos!A:B,2,FALSE)</f>
        <v>BRAHMA CHOPP LATA 350ML SH 18 MULTIPACK</v>
      </c>
      <c r="I990" s="3" t="s">
        <v>491</v>
      </c>
      <c r="J99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1" spans="1:10" x14ac:dyDescent="0.25">
      <c r="A991">
        <v>990</v>
      </c>
      <c r="B991" s="1">
        <v>45971.364247685196</v>
      </c>
      <c r="C991" s="1">
        <v>45971.364629629599</v>
      </c>
      <c r="D991" s="3" t="s">
        <v>20</v>
      </c>
      <c r="E991" s="3" t="s">
        <v>24</v>
      </c>
      <c r="F991" s="3"/>
      <c r="G991" s="2">
        <v>9083</v>
      </c>
      <c r="H991" s="2" t="str">
        <f>VLOOKUP(G991,Produtos!A:B,2,FALSE)</f>
        <v>SKOL LT 473ML SH C/12 NPAL</v>
      </c>
      <c r="I991" s="3" t="s">
        <v>491</v>
      </c>
      <c r="J99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2" spans="1:10" x14ac:dyDescent="0.25">
      <c r="A992">
        <v>991</v>
      </c>
      <c r="B992" s="1">
        <v>45971.364062499997</v>
      </c>
      <c r="C992" s="1">
        <v>45971.364918981497</v>
      </c>
      <c r="D992" s="3" t="s">
        <v>18</v>
      </c>
      <c r="E992" s="3" t="s">
        <v>24</v>
      </c>
      <c r="F992" s="3"/>
      <c r="G992" s="2">
        <v>21020</v>
      </c>
      <c r="H992" s="2" t="str">
        <f>VLOOKUP(G992,Produtos!A:B,2,FALSE)</f>
        <v>BUDWEISER LT SLEEK 350ML CX CART C12</v>
      </c>
      <c r="I992" s="3" t="s">
        <v>493</v>
      </c>
      <c r="J99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3" spans="1:10" x14ac:dyDescent="0.25">
      <c r="A993">
        <v>992</v>
      </c>
      <c r="B993" s="1">
        <v>45971.367175925901</v>
      </c>
      <c r="C993" s="1">
        <v>45971.3676851852</v>
      </c>
      <c r="D993" s="3" t="s">
        <v>20</v>
      </c>
      <c r="E993" s="3" t="s">
        <v>26</v>
      </c>
      <c r="F993" s="3"/>
      <c r="G993" s="2">
        <v>9093</v>
      </c>
      <c r="H993" s="2" t="str">
        <f>VLOOKUP(G993,Produtos!A:B,2,FALSE)</f>
        <v>PEPSI TWIST LATA 350ML SH C/12 NPAL</v>
      </c>
      <c r="I993" s="3" t="s">
        <v>491</v>
      </c>
      <c r="J99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4" spans="1:10" x14ac:dyDescent="0.25">
      <c r="A994">
        <v>993</v>
      </c>
      <c r="B994" s="1">
        <v>45971.367199074099</v>
      </c>
      <c r="C994" s="1">
        <v>45971.367696759298</v>
      </c>
      <c r="D994" s="3" t="s">
        <v>18</v>
      </c>
      <c r="E994" s="3" t="s">
        <v>21</v>
      </c>
      <c r="F994" s="3"/>
      <c r="G994" s="2">
        <v>9093</v>
      </c>
      <c r="H994" s="2" t="str">
        <f>VLOOKUP(G994,Produtos!A:B,2,FALSE)</f>
        <v>PEPSI TWIST LATA 350ML SH C/12 NPAL</v>
      </c>
      <c r="I994" s="3" t="s">
        <v>493</v>
      </c>
      <c r="J99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5" spans="1:10" x14ac:dyDescent="0.25">
      <c r="A995">
        <v>994</v>
      </c>
      <c r="B995" s="1">
        <v>45971.368622685201</v>
      </c>
      <c r="C995" s="1">
        <v>45971.369085648097</v>
      </c>
      <c r="D995" s="3" t="s">
        <v>18</v>
      </c>
      <c r="E995" s="3" t="s">
        <v>21</v>
      </c>
      <c r="F995" s="3"/>
      <c r="G995" s="2">
        <v>17808</v>
      </c>
      <c r="H995" s="2" t="str">
        <f>VLOOKUP(G995,Produtos!A:B,2,FALSE)</f>
        <v>BUDWEISER OW 330ML CX C 24</v>
      </c>
      <c r="I995" s="3" t="s">
        <v>493</v>
      </c>
      <c r="J99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6" spans="1:10" x14ac:dyDescent="0.25">
      <c r="A996">
        <v>995</v>
      </c>
      <c r="B996" s="1">
        <v>45971.368657407402</v>
      </c>
      <c r="C996" s="1">
        <v>45971.369131944397</v>
      </c>
      <c r="D996" s="3" t="s">
        <v>20</v>
      </c>
      <c r="E996" s="3" t="s">
        <v>21</v>
      </c>
      <c r="F996" s="3"/>
      <c r="G996" s="2">
        <v>9084</v>
      </c>
      <c r="H996" s="2" t="str">
        <f>VLOOKUP(G996,Produtos!A:B,2,FALSE)</f>
        <v>GUARANA CHP ANTARCT LT350ML SH C/12 NPAL</v>
      </c>
      <c r="I996" s="3" t="s">
        <v>491</v>
      </c>
      <c r="J99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7" spans="1:10" x14ac:dyDescent="0.25">
      <c r="A997">
        <v>996</v>
      </c>
      <c r="B997" s="1">
        <v>45971.369942129597</v>
      </c>
      <c r="C997" s="1">
        <v>45971.370555555601</v>
      </c>
      <c r="D997" s="3" t="s">
        <v>20</v>
      </c>
      <c r="E997" s="3" t="s">
        <v>21</v>
      </c>
      <c r="F997" s="3"/>
      <c r="G997" s="2">
        <v>12948</v>
      </c>
      <c r="H997" s="2" t="str">
        <f>VLOOKUP(G997,Produtos!A:B,2,FALSE)</f>
        <v>BRAHMA CHOPP ZERO LATA 350 SH CX C12 NPA</v>
      </c>
      <c r="I997" s="3" t="s">
        <v>491</v>
      </c>
      <c r="J99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8" spans="1:10" x14ac:dyDescent="0.25">
      <c r="A998">
        <v>997</v>
      </c>
      <c r="B998" s="1">
        <v>45971.371249999997</v>
      </c>
      <c r="C998" s="1">
        <v>45971.371678240699</v>
      </c>
      <c r="D998" s="3" t="s">
        <v>20</v>
      </c>
      <c r="E998" s="3" t="s">
        <v>21</v>
      </c>
      <c r="F998" s="3"/>
      <c r="G998" s="2">
        <v>9320</v>
      </c>
      <c r="H998" s="2" t="str">
        <f>VLOOKUP(G998,Produtos!A:B,2,FALSE)</f>
        <v>BRAHMA CHOPP LT 473ML SH C/12 NPAL</v>
      </c>
      <c r="I998" s="3" t="s">
        <v>491</v>
      </c>
      <c r="J99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999" spans="1:10" x14ac:dyDescent="0.25">
      <c r="A999">
        <v>998</v>
      </c>
      <c r="B999" s="1">
        <v>45971.371354166702</v>
      </c>
      <c r="C999" s="1">
        <v>45971.371851851902</v>
      </c>
      <c r="D999" s="3" t="s">
        <v>18</v>
      </c>
      <c r="E999" s="3" t="s">
        <v>21</v>
      </c>
      <c r="F999" s="3"/>
      <c r="G999" s="2">
        <v>9320</v>
      </c>
      <c r="H999" s="2" t="str">
        <f>VLOOKUP(G999,Produtos!A:B,2,FALSE)</f>
        <v>BRAHMA CHOPP LT 473ML SH C/12 NPAL</v>
      </c>
      <c r="I999" s="3" t="s">
        <v>493</v>
      </c>
      <c r="J99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0" spans="1:10" x14ac:dyDescent="0.25">
      <c r="A1000">
        <v>999</v>
      </c>
      <c r="B1000" s="1">
        <v>45972.371967592597</v>
      </c>
      <c r="C1000" s="1">
        <v>45972.372638888897</v>
      </c>
      <c r="D1000" s="3" t="s">
        <v>20</v>
      </c>
      <c r="E1000" s="3" t="s">
        <v>24</v>
      </c>
      <c r="F1000" s="3"/>
      <c r="G1000" s="2">
        <v>33820</v>
      </c>
      <c r="H1000" s="2" t="e">
        <f>VLOOKUP(G1000,Produtos!A:B,2,FALSE)</f>
        <v>#N/A</v>
      </c>
      <c r="I1000" s="3" t="s">
        <v>491</v>
      </c>
      <c r="J100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1" spans="1:10" x14ac:dyDescent="0.25">
      <c r="A1001">
        <v>1000</v>
      </c>
      <c r="B1001" s="1">
        <v>45972.372083333299</v>
      </c>
      <c r="C1001" s="1">
        <v>45972.372650463003</v>
      </c>
      <c r="D1001" s="3" t="s">
        <v>18</v>
      </c>
      <c r="E1001" s="3" t="s">
        <v>24</v>
      </c>
      <c r="F1001" s="3"/>
      <c r="G1001" s="2">
        <v>9071</v>
      </c>
      <c r="H1001" s="2" t="str">
        <f>VLOOKUP(G1001,Produtos!A:B,2,FALSE)</f>
        <v>CARACU LATA 350ML SH C/12 NPAL</v>
      </c>
      <c r="I1001" s="3" t="s">
        <v>493</v>
      </c>
      <c r="J100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2" spans="1:10" x14ac:dyDescent="0.25">
      <c r="A1002">
        <v>1001</v>
      </c>
      <c r="B1002" s="1">
        <v>45972.376921296302</v>
      </c>
      <c r="C1002" s="1">
        <v>45972.377476851798</v>
      </c>
      <c r="D1002" s="3" t="s">
        <v>20</v>
      </c>
      <c r="E1002" s="3" t="s">
        <v>21</v>
      </c>
      <c r="F1002" s="3"/>
      <c r="G1002" s="2">
        <v>9067</v>
      </c>
      <c r="H1002" s="2" t="str">
        <f>VLOOKUP(G1002,Produtos!A:B,2,FALSE)</f>
        <v>ANTARCTICA PILSEN LATA 350ML SH C/12 NPA</v>
      </c>
      <c r="I1002" s="3" t="s">
        <v>491</v>
      </c>
      <c r="J100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3" spans="1:10" x14ac:dyDescent="0.25">
      <c r="A1003">
        <v>1002</v>
      </c>
      <c r="B1003" s="1">
        <v>45973.338171296302</v>
      </c>
      <c r="C1003" s="1">
        <v>45973.3386805556</v>
      </c>
      <c r="D1003" s="3" t="s">
        <v>18</v>
      </c>
      <c r="E1003" s="3" t="s">
        <v>24</v>
      </c>
      <c r="F1003" s="3"/>
      <c r="G1003" s="2">
        <v>9071</v>
      </c>
      <c r="H1003" s="2" t="str">
        <f>VLOOKUP(G1003,Produtos!A:B,2,FALSE)</f>
        <v>CARACU LATA 350ML SH C/12 NPAL</v>
      </c>
      <c r="I1003" s="3" t="s">
        <v>493</v>
      </c>
      <c r="J100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4" spans="1:10" x14ac:dyDescent="0.25">
      <c r="A1004">
        <v>1003</v>
      </c>
      <c r="B1004" s="1">
        <v>45973.338703703703</v>
      </c>
      <c r="C1004" s="1">
        <v>45973.339166666701</v>
      </c>
      <c r="D1004" s="3" t="s">
        <v>18</v>
      </c>
      <c r="E1004" s="3" t="s">
        <v>26</v>
      </c>
      <c r="F1004" s="3"/>
      <c r="G1004" s="2">
        <v>17797</v>
      </c>
      <c r="H1004" s="2" t="str">
        <f>VLOOKUP(G1004,Produtos!A:B,2,FALSE)</f>
        <v>BRAHMA CHOPP LATA 350ML SH 18 MULTIPACK</v>
      </c>
      <c r="I1004" s="3" t="s">
        <v>493</v>
      </c>
      <c r="J100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5" spans="1:10" x14ac:dyDescent="0.25">
      <c r="A1005">
        <v>1004</v>
      </c>
      <c r="B1005" s="1">
        <v>45973.340717592597</v>
      </c>
      <c r="C1005" s="1">
        <v>45973.341307870403</v>
      </c>
      <c r="D1005" s="3" t="s">
        <v>18</v>
      </c>
      <c r="E1005" s="3" t="s">
        <v>21</v>
      </c>
      <c r="F1005" s="3"/>
      <c r="G1005" s="2">
        <v>12948</v>
      </c>
      <c r="H1005" s="2" t="str">
        <f>VLOOKUP(G1005,Produtos!A:B,2,FALSE)</f>
        <v>BRAHMA CHOPP ZERO LATA 350 SH CX C12 NPA</v>
      </c>
      <c r="I1005" s="3" t="s">
        <v>493</v>
      </c>
      <c r="J100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6" spans="1:10" x14ac:dyDescent="0.25">
      <c r="A1006">
        <v>1005</v>
      </c>
      <c r="B1006" s="1">
        <v>45973.3420833333</v>
      </c>
      <c r="C1006" s="1">
        <v>45973.342453703699</v>
      </c>
      <c r="D1006" s="3" t="s">
        <v>18</v>
      </c>
      <c r="E1006" s="3" t="s">
        <v>21</v>
      </c>
      <c r="F1006" s="3"/>
      <c r="G1006" s="2">
        <v>17808</v>
      </c>
      <c r="H1006" s="2" t="str">
        <f>VLOOKUP(G1006,Produtos!A:B,2,FALSE)</f>
        <v>BUDWEISER OW 330ML CX C 24</v>
      </c>
      <c r="I1006" s="3" t="s">
        <v>493</v>
      </c>
      <c r="J100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7" spans="1:10" x14ac:dyDescent="0.25">
      <c r="A1007">
        <v>1006</v>
      </c>
      <c r="B1007" s="1">
        <v>45973.389016203699</v>
      </c>
      <c r="C1007" s="1">
        <v>45973.389652777798</v>
      </c>
      <c r="D1007" s="3" t="s">
        <v>20</v>
      </c>
      <c r="E1007" s="3" t="s">
        <v>24</v>
      </c>
      <c r="F1007" s="3"/>
      <c r="G1007" s="2">
        <v>21020</v>
      </c>
      <c r="H1007" s="2" t="str">
        <f>VLOOKUP(G1007,Produtos!A:B,2,FALSE)</f>
        <v>BUDWEISER LT SLEEK 350ML CX CART C12</v>
      </c>
      <c r="I1007" s="3" t="s">
        <v>491</v>
      </c>
      <c r="J100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8" spans="1:10" x14ac:dyDescent="0.25">
      <c r="A1008">
        <v>1007</v>
      </c>
      <c r="B1008" s="1">
        <v>45973.389421296299</v>
      </c>
      <c r="C1008" s="1">
        <v>45973.390011574098</v>
      </c>
      <c r="D1008" s="3" t="s">
        <v>18</v>
      </c>
      <c r="E1008" s="3" t="s">
        <v>24</v>
      </c>
      <c r="F1008" s="3"/>
      <c r="G1008" s="2">
        <v>21020</v>
      </c>
      <c r="H1008" s="2" t="str">
        <f>VLOOKUP(G1008,Produtos!A:B,2,FALSE)</f>
        <v>BUDWEISER LT SLEEK 350ML CX CART C12</v>
      </c>
      <c r="I1008" s="3" t="s">
        <v>493</v>
      </c>
      <c r="J100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09" spans="1:10" x14ac:dyDescent="0.25">
      <c r="A1009">
        <v>1008</v>
      </c>
      <c r="B1009" s="1">
        <v>45973.392800925903</v>
      </c>
      <c r="C1009" s="1">
        <v>45973.393287036997</v>
      </c>
      <c r="D1009" s="3" t="s">
        <v>20</v>
      </c>
      <c r="E1009" s="3" t="s">
        <v>24</v>
      </c>
      <c r="F1009" s="3"/>
      <c r="G1009" s="2">
        <v>35623</v>
      </c>
      <c r="H1009" s="2" t="e">
        <f>VLOOKUP(G1009,Produtos!A:B,2,FALSE)</f>
        <v>#N/A</v>
      </c>
      <c r="I1009" s="3" t="s">
        <v>491</v>
      </c>
      <c r="J100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0" spans="1:10" x14ac:dyDescent="0.25">
      <c r="A1010">
        <v>1009</v>
      </c>
      <c r="B1010" s="1">
        <v>45973.394166666701</v>
      </c>
      <c r="C1010" s="1">
        <v>45973.394652777803</v>
      </c>
      <c r="D1010" s="3" t="s">
        <v>20</v>
      </c>
      <c r="E1010" s="3" t="s">
        <v>26</v>
      </c>
      <c r="F1010" s="3"/>
      <c r="G1010" s="2">
        <v>9069</v>
      </c>
      <c r="H1010" s="2" t="str">
        <f>VLOOKUP(G1010,Produtos!A:B,2,FALSE)</f>
        <v>BRAHMA CHOPP LATA 350ML SH C/12 NPAL</v>
      </c>
      <c r="I1010" s="3" t="s">
        <v>491</v>
      </c>
      <c r="J101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1" spans="1:10" x14ac:dyDescent="0.25">
      <c r="A1011">
        <v>1010</v>
      </c>
      <c r="B1011" s="1">
        <v>45973.397407407399</v>
      </c>
      <c r="C1011" s="1">
        <v>45973.397962962998</v>
      </c>
      <c r="D1011" s="3" t="s">
        <v>20</v>
      </c>
      <c r="E1011" s="3" t="s">
        <v>21</v>
      </c>
      <c r="F1011" s="3"/>
      <c r="G1011" s="2">
        <v>9069</v>
      </c>
      <c r="H1011" s="2" t="str">
        <f>VLOOKUP(G1011,Produtos!A:B,2,FALSE)</f>
        <v>BRAHMA CHOPP LATA 350ML SH C/12 NPAL</v>
      </c>
      <c r="I1011" s="3" t="s">
        <v>491</v>
      </c>
      <c r="J101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2" spans="1:10" x14ac:dyDescent="0.25">
      <c r="A1012">
        <v>1011</v>
      </c>
      <c r="B1012" s="1">
        <v>45973.397407407399</v>
      </c>
      <c r="C1012" s="1">
        <v>45973.3979861111</v>
      </c>
      <c r="D1012" s="3" t="s">
        <v>18</v>
      </c>
      <c r="E1012" s="3" t="s">
        <v>21</v>
      </c>
      <c r="F1012" s="3"/>
      <c r="G1012" s="2">
        <v>9069</v>
      </c>
      <c r="H1012" s="2" t="str">
        <f>VLOOKUP(G1012,Produtos!A:B,2,FALSE)</f>
        <v>BRAHMA CHOPP LATA 350ML SH C/12 NPAL</v>
      </c>
      <c r="I1012" s="3" t="s">
        <v>493</v>
      </c>
      <c r="J101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3" spans="1:10" x14ac:dyDescent="0.25">
      <c r="A1013">
        <v>1012</v>
      </c>
      <c r="B1013" s="1">
        <v>45973.483796296299</v>
      </c>
      <c r="C1013" s="1">
        <v>45973.484293981499</v>
      </c>
      <c r="D1013" s="3" t="s">
        <v>18</v>
      </c>
      <c r="E1013" s="3" t="s">
        <v>21</v>
      </c>
      <c r="F1013" s="3"/>
      <c r="G1013" s="2">
        <v>9276</v>
      </c>
      <c r="H1013" s="2" t="str">
        <f>VLOOKUP(G1013,Produtos!A:B,2,FALSE)</f>
        <v>PEPSI ZERO PET 2L CX C/6</v>
      </c>
      <c r="I1013" s="3" t="s">
        <v>493</v>
      </c>
      <c r="J101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4" spans="1:10" x14ac:dyDescent="0.25">
      <c r="A1014">
        <v>1013</v>
      </c>
      <c r="B1014" s="1">
        <v>45973.484317129602</v>
      </c>
      <c r="C1014" s="1">
        <v>45973.484814814801</v>
      </c>
      <c r="D1014" s="3" t="s">
        <v>18</v>
      </c>
      <c r="E1014" s="3" t="s">
        <v>21</v>
      </c>
      <c r="F1014" s="3"/>
      <c r="G1014" s="2">
        <v>9320</v>
      </c>
      <c r="H1014" s="2" t="str">
        <f>VLOOKUP(G1014,Produtos!A:B,2,FALSE)</f>
        <v>BRAHMA CHOPP LT 473ML SH C/12 NPAL</v>
      </c>
      <c r="I1014" s="3" t="s">
        <v>493</v>
      </c>
      <c r="J101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5" spans="1:10" x14ac:dyDescent="0.25">
      <c r="A1015">
        <v>1014</v>
      </c>
      <c r="B1015" s="1">
        <v>45973.488159722197</v>
      </c>
      <c r="C1015" s="1">
        <v>45973.488587963002</v>
      </c>
      <c r="D1015" s="3" t="s">
        <v>18</v>
      </c>
      <c r="E1015" s="3" t="s">
        <v>24</v>
      </c>
      <c r="F1015" s="3"/>
      <c r="G1015" s="2">
        <v>14135</v>
      </c>
      <c r="H1015" s="2" t="str">
        <f>VLOOKUP(G1015,Produtos!A:B,2,FALSE)</f>
        <v>BUDWEISER LT 473ML SIX-PACK SH C/2 NPAL</v>
      </c>
      <c r="I1015" s="3" t="s">
        <v>493</v>
      </c>
      <c r="J101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6" spans="1:10" x14ac:dyDescent="0.25">
      <c r="A1016">
        <v>1015</v>
      </c>
      <c r="B1016" s="1">
        <v>45973.494189814803</v>
      </c>
      <c r="C1016" s="1">
        <v>45973.494837963</v>
      </c>
      <c r="D1016" s="3" t="s">
        <v>18</v>
      </c>
      <c r="E1016" s="3" t="s">
        <v>24</v>
      </c>
      <c r="F1016" s="3"/>
      <c r="G1016" s="2">
        <v>21020</v>
      </c>
      <c r="H1016" s="2" t="str">
        <f>VLOOKUP(G1016,Produtos!A:B,2,FALSE)</f>
        <v>BUDWEISER LT SLEEK 350ML CX CART C12</v>
      </c>
      <c r="I1016" s="3" t="s">
        <v>493</v>
      </c>
      <c r="J101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7" spans="1:10" x14ac:dyDescent="0.25">
      <c r="A1017">
        <v>1016</v>
      </c>
      <c r="B1017" s="1">
        <v>45973.494849536997</v>
      </c>
      <c r="C1017" s="1">
        <v>45973.495682870402</v>
      </c>
      <c r="D1017" s="3" t="s">
        <v>18</v>
      </c>
      <c r="E1017" s="3" t="s">
        <v>24</v>
      </c>
      <c r="F1017" s="3"/>
      <c r="G1017" s="2">
        <v>9096</v>
      </c>
      <c r="H1017" s="2" t="str">
        <f>VLOOKUP(G1017,Produtos!A:B,2,FALSE)</f>
        <v>PEPSI COLA LATA 350ML SH C/12 NPAL</v>
      </c>
      <c r="I1017" s="3" t="s">
        <v>493</v>
      </c>
      <c r="J101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8" spans="1:10" x14ac:dyDescent="0.25">
      <c r="A1018">
        <v>1017</v>
      </c>
      <c r="B1018" s="1">
        <v>45974.442372685196</v>
      </c>
      <c r="C1018" s="1">
        <v>45974.443148148101</v>
      </c>
      <c r="D1018" s="3" t="s">
        <v>20</v>
      </c>
      <c r="E1018" s="3" t="s">
        <v>24</v>
      </c>
      <c r="F1018" s="3"/>
      <c r="G1018" s="2">
        <v>15414</v>
      </c>
      <c r="H1018" s="2" t="str">
        <f>VLOOKUP(G1018,Produtos!A:B,2,FALSE)</f>
        <v>AGUA M F DA ILHA S/G PET 500ML CXC12 PRE</v>
      </c>
      <c r="I1018" s="3" t="s">
        <v>492</v>
      </c>
      <c r="J101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19" spans="1:10" x14ac:dyDescent="0.25">
      <c r="A1019">
        <v>1018</v>
      </c>
      <c r="B1019" s="1">
        <v>45974.443668981497</v>
      </c>
      <c r="C1019" s="1">
        <v>45974.444027777798</v>
      </c>
      <c r="D1019" s="3" t="s">
        <v>20</v>
      </c>
      <c r="E1019" s="3" t="s">
        <v>24</v>
      </c>
      <c r="F1019" s="3"/>
      <c r="G1019" s="2">
        <v>9096</v>
      </c>
      <c r="H1019" s="2" t="str">
        <f>VLOOKUP(G1019,Produtos!A:B,2,FALSE)</f>
        <v>PEPSI COLA LATA 350ML SH C/12 NPAL</v>
      </c>
      <c r="I1019" s="3" t="s">
        <v>491</v>
      </c>
      <c r="J101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0" spans="1:10" x14ac:dyDescent="0.25">
      <c r="A1020">
        <v>1019</v>
      </c>
      <c r="B1020" s="1">
        <v>45974.4460763889</v>
      </c>
      <c r="C1020" s="1">
        <v>45974.446585648097</v>
      </c>
      <c r="D1020" s="3" t="s">
        <v>20</v>
      </c>
      <c r="E1020" s="3" t="s">
        <v>26</v>
      </c>
      <c r="F1020" s="3"/>
      <c r="G1020" s="2">
        <v>19310</v>
      </c>
      <c r="H1020" s="2" t="str">
        <f>VLOOKUP(G1020,Produtos!A:B,2,FALSE)</f>
        <v>ORIGINAL LATA 350ML CX CARTAO C/12 NPAL</v>
      </c>
      <c r="I1020" s="3" t="s">
        <v>491</v>
      </c>
      <c r="J102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1" spans="1:10" x14ac:dyDescent="0.25">
      <c r="A1021">
        <v>1020</v>
      </c>
      <c r="B1021" s="1">
        <v>45975.175844907397</v>
      </c>
      <c r="C1021" s="1">
        <v>45975.1765856481</v>
      </c>
      <c r="D1021" s="3" t="s">
        <v>27</v>
      </c>
      <c r="E1021" s="3" t="s">
        <v>15</v>
      </c>
      <c r="F1021" s="3"/>
      <c r="G1021" s="2">
        <v>9071</v>
      </c>
      <c r="H1021" s="2" t="str">
        <f>VLOOKUP(G1021,Produtos!A:B,2,FALSE)</f>
        <v>CARACU LATA 350ML SH C/12 NPAL</v>
      </c>
      <c r="I1021" s="3" t="s">
        <v>493</v>
      </c>
      <c r="J102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2" spans="1:10" x14ac:dyDescent="0.25">
      <c r="A1022">
        <v>1021</v>
      </c>
      <c r="B1022" s="1">
        <v>45975.183136574102</v>
      </c>
      <c r="C1022" s="1">
        <v>45975.1850231481</v>
      </c>
      <c r="D1022" s="3" t="s">
        <v>27</v>
      </c>
      <c r="E1022" s="3" t="s">
        <v>15</v>
      </c>
      <c r="F1022" s="3"/>
      <c r="G1022" s="2">
        <v>33820</v>
      </c>
      <c r="H1022" s="2" t="e">
        <f>VLOOKUP(G1022,Produtos!A:B,2,FALSE)</f>
        <v>#N/A</v>
      </c>
      <c r="I1022" s="3" t="s">
        <v>493</v>
      </c>
      <c r="J102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3" spans="1:10" x14ac:dyDescent="0.25">
      <c r="A1023">
        <v>1022</v>
      </c>
      <c r="B1023" s="1">
        <v>45975.3891435185</v>
      </c>
      <c r="C1023" s="1">
        <v>45975.389583333301</v>
      </c>
      <c r="D1023" s="3" t="s">
        <v>18</v>
      </c>
      <c r="E1023" s="3" t="s">
        <v>24</v>
      </c>
      <c r="F1023" s="3"/>
      <c r="G1023" s="2">
        <v>19729</v>
      </c>
      <c r="H1023" s="2" t="str">
        <f>VLOOKUP(G1023,Produtos!A:B,2,FALSE)</f>
        <v>STELLA ARTOIS LT SLEEK 350ML C 8 CX CART</v>
      </c>
      <c r="I1023" s="3" t="s">
        <v>493</v>
      </c>
      <c r="J102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4" spans="1:10" x14ac:dyDescent="0.25">
      <c r="A1024">
        <v>1023</v>
      </c>
      <c r="B1024" s="1">
        <v>45975.390856481499</v>
      </c>
      <c r="C1024" s="1">
        <v>45975.391331018502</v>
      </c>
      <c r="D1024" s="3" t="s">
        <v>18</v>
      </c>
      <c r="E1024" s="3" t="s">
        <v>24</v>
      </c>
      <c r="F1024" s="3"/>
      <c r="G1024" s="2">
        <v>14135</v>
      </c>
      <c r="H1024" s="2" t="str">
        <f>VLOOKUP(G1024,Produtos!A:B,2,FALSE)</f>
        <v>BUDWEISER LT 473ML SIX-PACK SH C/2 NPAL</v>
      </c>
      <c r="I1024" s="3" t="s">
        <v>493</v>
      </c>
      <c r="J102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5" spans="1:10" x14ac:dyDescent="0.25">
      <c r="A1025">
        <v>1024</v>
      </c>
      <c r="B1025" s="1">
        <v>45975.392175925903</v>
      </c>
      <c r="C1025" s="1">
        <v>45975.3926041667</v>
      </c>
      <c r="D1025" s="3" t="s">
        <v>18</v>
      </c>
      <c r="E1025" s="3" t="s">
        <v>24</v>
      </c>
      <c r="F1025" s="3"/>
      <c r="G1025" s="2">
        <v>14135</v>
      </c>
      <c r="H1025" s="2" t="str">
        <f>VLOOKUP(G1025,Produtos!A:B,2,FALSE)</f>
        <v>BUDWEISER LT 473ML SIX-PACK SH C/2 NPAL</v>
      </c>
      <c r="I1025" s="3" t="s">
        <v>493</v>
      </c>
      <c r="J102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6" spans="1:10" x14ac:dyDescent="0.25">
      <c r="A1026">
        <v>1025</v>
      </c>
      <c r="B1026" s="1">
        <v>45975.394722222198</v>
      </c>
      <c r="C1026" s="1">
        <v>45975.395266203697</v>
      </c>
      <c r="D1026" s="3" t="s">
        <v>18</v>
      </c>
      <c r="E1026" s="3" t="s">
        <v>21</v>
      </c>
      <c r="F1026" s="3"/>
      <c r="G1026" s="2">
        <v>12948</v>
      </c>
      <c r="H1026" s="2" t="str">
        <f>VLOOKUP(G1026,Produtos!A:B,2,FALSE)</f>
        <v>BRAHMA CHOPP ZERO LATA 350 SH CX C12 NPA</v>
      </c>
      <c r="I1026" s="3" t="s">
        <v>493</v>
      </c>
      <c r="J102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7" spans="1:10" x14ac:dyDescent="0.25">
      <c r="A1027">
        <v>1026</v>
      </c>
      <c r="B1027" s="1">
        <v>45975.396076388897</v>
      </c>
      <c r="C1027" s="1">
        <v>45975.396539351903</v>
      </c>
      <c r="D1027" s="3" t="s">
        <v>18</v>
      </c>
      <c r="E1027" s="3" t="s">
        <v>21</v>
      </c>
      <c r="F1027" s="3"/>
      <c r="G1027" s="2">
        <v>17808</v>
      </c>
      <c r="H1027" s="2" t="str">
        <f>VLOOKUP(G1027,Produtos!A:B,2,FALSE)</f>
        <v>BUDWEISER OW 330ML CX C 24</v>
      </c>
      <c r="I1027" s="3" t="s">
        <v>493</v>
      </c>
      <c r="J102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8" spans="1:10" x14ac:dyDescent="0.25">
      <c r="A1028">
        <v>1027</v>
      </c>
      <c r="B1028" s="1">
        <v>45975.397210648101</v>
      </c>
      <c r="C1028" s="1">
        <v>45975.397615740701</v>
      </c>
      <c r="D1028" s="3" t="s">
        <v>18</v>
      </c>
      <c r="E1028" s="3" t="s">
        <v>21</v>
      </c>
      <c r="F1028" s="3"/>
      <c r="G1028" s="2">
        <v>21020</v>
      </c>
      <c r="H1028" s="2" t="str">
        <f>VLOOKUP(G1028,Produtos!A:B,2,FALSE)</f>
        <v>BUDWEISER LT SLEEK 350ML CX CART C12</v>
      </c>
      <c r="I1028" s="3" t="s">
        <v>493</v>
      </c>
      <c r="J102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29" spans="1:10" x14ac:dyDescent="0.25">
      <c r="A1029">
        <v>1028</v>
      </c>
      <c r="B1029" s="1">
        <v>45975.398472222201</v>
      </c>
      <c r="C1029" s="1">
        <v>45975.399004629602</v>
      </c>
      <c r="D1029" s="3" t="s">
        <v>18</v>
      </c>
      <c r="E1029" s="3" t="s">
        <v>21</v>
      </c>
      <c r="F1029" s="3"/>
      <c r="G1029" s="2">
        <v>9069</v>
      </c>
      <c r="H1029" s="2" t="str">
        <f>VLOOKUP(G1029,Produtos!A:B,2,FALSE)</f>
        <v>BRAHMA CHOPP LATA 350ML SH C/12 NPAL</v>
      </c>
      <c r="I1029" s="3" t="s">
        <v>493</v>
      </c>
      <c r="J102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0" spans="1:10" x14ac:dyDescent="0.25">
      <c r="A1030">
        <v>1029</v>
      </c>
      <c r="B1030" s="1">
        <v>45978.395266203697</v>
      </c>
      <c r="C1030" s="1">
        <v>45978.395833333299</v>
      </c>
      <c r="D1030" s="3" t="s">
        <v>18</v>
      </c>
      <c r="E1030" s="3" t="s">
        <v>24</v>
      </c>
      <c r="F1030" s="3"/>
      <c r="G1030" s="2">
        <v>9071</v>
      </c>
      <c r="H1030" s="2" t="str">
        <f>VLOOKUP(G1030,Produtos!A:B,2,FALSE)</f>
        <v>CARACU LATA 350ML SH C/12 NPAL</v>
      </c>
      <c r="I1030" s="3" t="s">
        <v>493</v>
      </c>
      <c r="J103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1" spans="1:10" x14ac:dyDescent="0.25">
      <c r="A1031">
        <v>1030</v>
      </c>
      <c r="B1031" s="1">
        <v>45978.3960069444</v>
      </c>
      <c r="C1031" s="1">
        <v>45978.396435185197</v>
      </c>
      <c r="D1031" s="3" t="s">
        <v>20</v>
      </c>
      <c r="E1031" s="3" t="s">
        <v>24</v>
      </c>
      <c r="F1031" s="3"/>
      <c r="G1031" s="2">
        <v>9092</v>
      </c>
      <c r="H1031" s="2" t="str">
        <f>VLOOKUP(G1031,Produtos!A:B,2,FALSE)</f>
        <v>TONICA ANTARCTICA DIET LT350MLSHC/12 PAL</v>
      </c>
      <c r="I1031" s="3" t="s">
        <v>491</v>
      </c>
      <c r="J103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2" spans="1:10" x14ac:dyDescent="0.25">
      <c r="A1032">
        <v>1031</v>
      </c>
      <c r="B1032" s="1">
        <v>45978.396481481497</v>
      </c>
      <c r="C1032" s="1">
        <v>45978.396967592598</v>
      </c>
      <c r="D1032" s="3" t="s">
        <v>18</v>
      </c>
      <c r="E1032" s="3" t="s">
        <v>24</v>
      </c>
      <c r="F1032" s="3"/>
      <c r="G1032" s="2">
        <v>35319</v>
      </c>
      <c r="H1032" s="2" t="e">
        <f>VLOOKUP(G1032,Produtos!A:B,2,FALSE)</f>
        <v>#N/A</v>
      </c>
      <c r="I1032" s="3" t="s">
        <v>493</v>
      </c>
      <c r="J103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3" spans="1:10" x14ac:dyDescent="0.25">
      <c r="A1033">
        <v>1032</v>
      </c>
      <c r="B1033" s="1">
        <v>45979.346539351798</v>
      </c>
      <c r="C1033" s="1">
        <v>45979.347557870402</v>
      </c>
      <c r="D1033" s="3" t="s">
        <v>18</v>
      </c>
      <c r="E1033" s="3" t="s">
        <v>24</v>
      </c>
      <c r="F1033" s="3"/>
      <c r="G1033" s="2">
        <v>9096</v>
      </c>
      <c r="H1033" s="2" t="str">
        <f>VLOOKUP(G1033,Produtos!A:B,2,FALSE)</f>
        <v>PEPSI COLA LATA 350ML SH C/12 NPAL</v>
      </c>
      <c r="I1033" s="3" t="s">
        <v>493</v>
      </c>
      <c r="J103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4" spans="1:10" x14ac:dyDescent="0.25">
      <c r="A1034">
        <v>1033</v>
      </c>
      <c r="B1034" s="1">
        <v>45979.347627314797</v>
      </c>
      <c r="C1034" s="1">
        <v>45979.348067129598</v>
      </c>
      <c r="D1034" s="3" t="s">
        <v>18</v>
      </c>
      <c r="E1034" s="3" t="s">
        <v>24</v>
      </c>
      <c r="F1034" s="3"/>
      <c r="G1034" s="2">
        <v>33818</v>
      </c>
      <c r="H1034" s="2" t="str">
        <f>VLOOKUP(G1034,Produtos!A:B,2,FALSE)</f>
        <v>ORIGINAL LT 350ML SH C/12 NP MULTIPACK</v>
      </c>
      <c r="I1034" s="3" t="s">
        <v>493</v>
      </c>
      <c r="J103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5" spans="1:10" x14ac:dyDescent="0.25">
      <c r="A1035">
        <v>1034</v>
      </c>
      <c r="B1035" s="1">
        <v>45979.348981481497</v>
      </c>
      <c r="C1035" s="1">
        <v>45979.349398148101</v>
      </c>
      <c r="D1035" s="3" t="s">
        <v>18</v>
      </c>
      <c r="E1035" s="3" t="s">
        <v>24</v>
      </c>
      <c r="F1035" s="3"/>
      <c r="G1035" s="2">
        <v>29580</v>
      </c>
      <c r="H1035" s="2" t="str">
        <f>VLOOKUP(G1035,Produtos!A:B,2,FALSE)</f>
        <v>STELLA ARTOIS PURE GOLD LN 330 SXP SH C4</v>
      </c>
      <c r="I1035" s="3" t="s">
        <v>493</v>
      </c>
      <c r="J103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6" spans="1:10" x14ac:dyDescent="0.25">
      <c r="A1036">
        <v>1035</v>
      </c>
      <c r="B1036" s="1">
        <v>45979.350104166697</v>
      </c>
      <c r="C1036" s="1">
        <v>45979.350555555597</v>
      </c>
      <c r="D1036" s="3" t="s">
        <v>18</v>
      </c>
      <c r="E1036" s="3" t="s">
        <v>24</v>
      </c>
      <c r="F1036" s="3"/>
      <c r="G1036" s="2">
        <v>35113</v>
      </c>
      <c r="H1036" s="2" t="e">
        <f>VLOOKUP(G1036,Produtos!A:B,2,FALSE)</f>
        <v>#N/A</v>
      </c>
      <c r="I1036" s="3" t="s">
        <v>493</v>
      </c>
      <c r="J103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7" spans="1:10" x14ac:dyDescent="0.25">
      <c r="A1037">
        <v>1036</v>
      </c>
      <c r="B1037" s="1">
        <v>45979.3516087963</v>
      </c>
      <c r="C1037" s="1">
        <v>45979.3520601852</v>
      </c>
      <c r="D1037" s="3" t="s">
        <v>18</v>
      </c>
      <c r="E1037" s="3" t="s">
        <v>24</v>
      </c>
      <c r="F1037" s="3"/>
      <c r="G1037" s="2">
        <v>22180</v>
      </c>
      <c r="H1037" s="2" t="str">
        <f>VLOOKUP(G1037,Produtos!A:B,2,FALSE)</f>
        <v>BUDWEISER ZERO LN 330ML SIX-PACK SH C/4</v>
      </c>
      <c r="I1037" s="3" t="s">
        <v>493</v>
      </c>
      <c r="J103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8" spans="1:10" x14ac:dyDescent="0.25">
      <c r="A1038">
        <v>1037</v>
      </c>
      <c r="B1038" s="1">
        <v>45979.351678240702</v>
      </c>
      <c r="C1038" s="1">
        <v>45979.352141203701</v>
      </c>
      <c r="D1038" s="3" t="s">
        <v>18</v>
      </c>
      <c r="E1038" s="3" t="s">
        <v>24</v>
      </c>
      <c r="F1038" s="3"/>
      <c r="G1038" s="2">
        <v>22180</v>
      </c>
      <c r="H1038" s="2" t="str">
        <f>VLOOKUP(G1038,Produtos!A:B,2,FALSE)</f>
        <v>BUDWEISER ZERO LN 330ML SIX-PACK SH C/4</v>
      </c>
      <c r="I1038" s="3" t="s">
        <v>493</v>
      </c>
      <c r="J103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39" spans="1:10" x14ac:dyDescent="0.25">
      <c r="A1039">
        <v>1038</v>
      </c>
      <c r="B1039" s="1">
        <v>45979.392013888901</v>
      </c>
      <c r="C1039" s="1">
        <v>45979.392453703702</v>
      </c>
      <c r="D1039" s="3" t="s">
        <v>20</v>
      </c>
      <c r="E1039" s="3" t="s">
        <v>24</v>
      </c>
      <c r="F1039" s="3"/>
      <c r="G1039" s="2">
        <v>9092</v>
      </c>
      <c r="H1039" s="2" t="str">
        <f>VLOOKUP(G1039,Produtos!A:B,2,FALSE)</f>
        <v>TONICA ANTARCTICA DIET LT350MLSHC/12 PAL</v>
      </c>
      <c r="I1039" s="3" t="s">
        <v>491</v>
      </c>
      <c r="J103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0" spans="1:10" x14ac:dyDescent="0.25">
      <c r="A1040">
        <v>1039</v>
      </c>
      <c r="B1040" s="1">
        <v>45979.393865740698</v>
      </c>
      <c r="C1040" s="1">
        <v>45979.394409722197</v>
      </c>
      <c r="D1040" s="3" t="s">
        <v>20</v>
      </c>
      <c r="E1040" s="3" t="s">
        <v>24</v>
      </c>
      <c r="F1040" s="3"/>
      <c r="G1040" s="2">
        <v>19310</v>
      </c>
      <c r="H1040" s="2" t="str">
        <f>VLOOKUP(G1040,Produtos!A:B,2,FALSE)</f>
        <v>ORIGINAL LATA 350ML CX CARTAO C/12 NPAL</v>
      </c>
      <c r="I1040" s="3" t="s">
        <v>492</v>
      </c>
      <c r="J104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1" spans="1:10" x14ac:dyDescent="0.25">
      <c r="A1041">
        <v>1040</v>
      </c>
      <c r="B1041" s="1">
        <v>45979.395358796297</v>
      </c>
      <c r="C1041" s="1">
        <v>45979.396180555603</v>
      </c>
      <c r="D1041" s="3" t="s">
        <v>20</v>
      </c>
      <c r="E1041" s="3" t="s">
        <v>24</v>
      </c>
      <c r="F1041" s="3"/>
      <c r="G1041" s="2">
        <v>33818</v>
      </c>
      <c r="H1041" s="2" t="str">
        <f>VLOOKUP(G1041,Produtos!A:B,2,FALSE)</f>
        <v>ORIGINAL LT 350ML SH C/12 NP MULTIPACK</v>
      </c>
      <c r="I1041" s="3" t="s">
        <v>491</v>
      </c>
      <c r="J104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2" spans="1:10" x14ac:dyDescent="0.25">
      <c r="A1042">
        <v>1041</v>
      </c>
      <c r="B1042" s="1">
        <v>45979.434502314798</v>
      </c>
      <c r="C1042" s="1">
        <v>45979.434965277796</v>
      </c>
      <c r="D1042" s="3" t="s">
        <v>18</v>
      </c>
      <c r="E1042" s="3" t="s">
        <v>21</v>
      </c>
      <c r="F1042" s="3"/>
      <c r="G1042" s="2">
        <v>9067</v>
      </c>
      <c r="H1042" s="2" t="str">
        <f>VLOOKUP(G1042,Produtos!A:B,2,FALSE)</f>
        <v>ANTARCTICA PILSEN LATA 350ML SH C/12 NPA</v>
      </c>
      <c r="I1042" s="3" t="s">
        <v>493</v>
      </c>
      <c r="J104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3" spans="1:10" x14ac:dyDescent="0.25">
      <c r="A1043">
        <v>1042</v>
      </c>
      <c r="B1043" s="1">
        <v>45980.443206018499</v>
      </c>
      <c r="C1043" s="1">
        <v>45980.443634259304</v>
      </c>
      <c r="D1043" s="3" t="s">
        <v>20</v>
      </c>
      <c r="E1043" s="3" t="s">
        <v>24</v>
      </c>
      <c r="F1043" s="3"/>
      <c r="G1043" s="2">
        <v>9087</v>
      </c>
      <c r="H1043" s="2" t="str">
        <f>VLOOKUP(G1043,Produtos!A:B,2,FALSE)</f>
        <v>SODA LIMONADA ANTAR LT350ML SH C/12 NPAL</v>
      </c>
      <c r="I1043" s="3" t="s">
        <v>491</v>
      </c>
      <c r="J104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4" spans="1:10" x14ac:dyDescent="0.25">
      <c r="A1044">
        <v>1043</v>
      </c>
      <c r="B1044" s="1">
        <v>45980.444479166697</v>
      </c>
      <c r="C1044" s="1">
        <v>45980.444918981499</v>
      </c>
      <c r="D1044" s="3" t="s">
        <v>18</v>
      </c>
      <c r="E1044" s="3" t="s">
        <v>24</v>
      </c>
      <c r="F1044" s="3"/>
      <c r="G1044" s="2">
        <v>13566</v>
      </c>
      <c r="H1044" s="2" t="str">
        <f>VLOOKUP(G1044,Produtos!A:B,2,FALSE)</f>
        <v>SKOL BEATS SENSES LATA 269ML CX C/8 FRID</v>
      </c>
      <c r="I1044" s="3" t="s">
        <v>491</v>
      </c>
      <c r="J104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5" spans="1:10" x14ac:dyDescent="0.25">
      <c r="A1045">
        <v>1044</v>
      </c>
      <c r="B1045" s="1">
        <v>45980.444884259297</v>
      </c>
      <c r="C1045" s="1">
        <v>45980.445509259298</v>
      </c>
      <c r="D1045" s="3" t="s">
        <v>18</v>
      </c>
      <c r="E1045" s="3" t="s">
        <v>24</v>
      </c>
      <c r="F1045" s="3"/>
      <c r="G1045" s="2">
        <v>9083</v>
      </c>
      <c r="H1045" s="2" t="str">
        <f>VLOOKUP(G1045,Produtos!A:B,2,FALSE)</f>
        <v>SKOL LT 473ML SH C/12 NPAL</v>
      </c>
      <c r="I1045" s="3" t="s">
        <v>493</v>
      </c>
      <c r="J104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6" spans="1:10" x14ac:dyDescent="0.25">
      <c r="A1046">
        <v>1045</v>
      </c>
      <c r="B1046" s="1">
        <v>45980.448321759301</v>
      </c>
      <c r="C1046" s="1">
        <v>45980.448923611097</v>
      </c>
      <c r="D1046" s="3" t="s">
        <v>18</v>
      </c>
      <c r="E1046" s="3" t="s">
        <v>26</v>
      </c>
      <c r="F1046" s="3"/>
      <c r="G1046" s="2">
        <v>18490</v>
      </c>
      <c r="H1046" s="2" t="str">
        <f>VLOOKUP(G1046,Produtos!A:B,2,FALSE)</f>
        <v>PATAGONIA AMB LAG NAC LATA 473ML 6PACK</v>
      </c>
      <c r="I1046" s="3" t="s">
        <v>493</v>
      </c>
      <c r="J104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7" spans="1:10" x14ac:dyDescent="0.25">
      <c r="A1047">
        <v>1046</v>
      </c>
      <c r="B1047" s="1">
        <v>45980.450474537</v>
      </c>
      <c r="C1047" s="1">
        <v>45980.451215277797</v>
      </c>
      <c r="D1047" s="3" t="s">
        <v>20</v>
      </c>
      <c r="E1047" s="3" t="s">
        <v>21</v>
      </c>
      <c r="F1047" s="3"/>
      <c r="G1047" s="2">
        <v>33820</v>
      </c>
      <c r="H1047" s="2" t="e">
        <f>VLOOKUP(G1047,Produtos!A:B,2,FALSE)</f>
        <v>#N/A</v>
      </c>
      <c r="I1047" s="3" t="s">
        <v>491</v>
      </c>
      <c r="J104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8" spans="1:10" x14ac:dyDescent="0.25">
      <c r="A1048">
        <v>1047</v>
      </c>
      <c r="B1048" s="1">
        <v>45981.437523148103</v>
      </c>
      <c r="C1048" s="1">
        <v>45981.438067129602</v>
      </c>
      <c r="D1048" s="3" t="s">
        <v>18</v>
      </c>
      <c r="E1048" s="3" t="s">
        <v>26</v>
      </c>
      <c r="F1048" s="3"/>
      <c r="G1048" s="2">
        <v>19310</v>
      </c>
      <c r="H1048" s="2" t="str">
        <f>VLOOKUP(G1048,Produtos!A:B,2,FALSE)</f>
        <v>ORIGINAL LATA 350ML CX CARTAO C/12 NPAL</v>
      </c>
      <c r="I1048" s="3" t="s">
        <v>493</v>
      </c>
      <c r="J104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49" spans="1:10" x14ac:dyDescent="0.25">
      <c r="A1049">
        <v>1048</v>
      </c>
      <c r="B1049" s="1">
        <v>45981.438240740703</v>
      </c>
      <c r="C1049" s="1">
        <v>45981.438692129603</v>
      </c>
      <c r="D1049" s="3" t="s">
        <v>20</v>
      </c>
      <c r="E1049" s="3" t="s">
        <v>26</v>
      </c>
      <c r="F1049" s="3"/>
      <c r="G1049" s="2">
        <v>19310</v>
      </c>
      <c r="H1049" s="2" t="str">
        <f>VLOOKUP(G1049,Produtos!A:B,2,FALSE)</f>
        <v>ORIGINAL LATA 350ML CX CARTAO C/12 NPAL</v>
      </c>
      <c r="I1049" s="3" t="s">
        <v>491</v>
      </c>
      <c r="J104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0" spans="1:10" x14ac:dyDescent="0.25">
      <c r="A1050">
        <v>1049</v>
      </c>
      <c r="B1050" s="1">
        <v>45981.439363425903</v>
      </c>
      <c r="C1050" s="1">
        <v>45981.4399305556</v>
      </c>
      <c r="D1050" s="3" t="s">
        <v>18</v>
      </c>
      <c r="E1050" s="3" t="s">
        <v>24</v>
      </c>
      <c r="F1050" s="3"/>
      <c r="G1050" s="2">
        <v>19310</v>
      </c>
      <c r="H1050" s="2" t="str">
        <f>VLOOKUP(G1050,Produtos!A:B,2,FALSE)</f>
        <v>ORIGINAL LATA 350ML CX CARTAO C/12 NPAL</v>
      </c>
      <c r="I1050" s="3" t="s">
        <v>493</v>
      </c>
      <c r="J105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1" spans="1:10" x14ac:dyDescent="0.25">
      <c r="A1051">
        <v>1050</v>
      </c>
      <c r="B1051" s="1">
        <v>45981.439768518503</v>
      </c>
      <c r="C1051" s="1">
        <v>45981.440532407403</v>
      </c>
      <c r="D1051" s="3" t="s">
        <v>20</v>
      </c>
      <c r="E1051" s="3" t="s">
        <v>24</v>
      </c>
      <c r="F1051" s="3"/>
      <c r="G1051" s="2">
        <v>18836</v>
      </c>
      <c r="H1051" s="2" t="str">
        <f>VLOOKUP(G1051,Produtos!A:B,2,FALSE)</f>
        <v>CORONA EXTRA NAC LN 330 CX C/24 NPAL</v>
      </c>
      <c r="I1051" s="3" t="s">
        <v>503</v>
      </c>
      <c r="J105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2" spans="1:10" x14ac:dyDescent="0.25">
      <c r="A1052">
        <v>1051</v>
      </c>
      <c r="B1052" s="1">
        <v>45982.340787036999</v>
      </c>
      <c r="C1052" s="1">
        <v>45982.3413194444</v>
      </c>
      <c r="D1052" s="3" t="s">
        <v>18</v>
      </c>
      <c r="E1052" s="3" t="s">
        <v>24</v>
      </c>
      <c r="F1052" s="3"/>
      <c r="G1052" s="2">
        <v>21658</v>
      </c>
      <c r="H1052" s="2" t="str">
        <f>VLOOKUP(G1052,Produtos!A:B,2,FALSE)</f>
        <v>SPATEN N LT SLEEK 350ML CX CART C12</v>
      </c>
      <c r="I1052" s="3" t="s">
        <v>493</v>
      </c>
      <c r="J105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3" spans="1:10" x14ac:dyDescent="0.25">
      <c r="A1053">
        <v>1052</v>
      </c>
      <c r="B1053" s="1">
        <v>45982.341666666704</v>
      </c>
      <c r="C1053" s="1">
        <v>45982.3421296296</v>
      </c>
      <c r="D1053" s="3" t="s">
        <v>18</v>
      </c>
      <c r="E1053" s="3" t="s">
        <v>24</v>
      </c>
      <c r="F1053" s="3"/>
      <c r="G1053" s="2">
        <v>9085</v>
      </c>
      <c r="H1053" s="2" t="str">
        <f>VLOOKUP(G1053,Produtos!A:B,2,FALSE)</f>
        <v>GUARANA CHP ANTARCT DIET LT350ML SHC/12</v>
      </c>
      <c r="I1053" s="3" t="s">
        <v>493</v>
      </c>
      <c r="J105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4" spans="1:10" x14ac:dyDescent="0.25">
      <c r="A1054">
        <v>1053</v>
      </c>
      <c r="B1054" s="1">
        <v>45982.343449074098</v>
      </c>
      <c r="C1054" s="1">
        <v>45982.343923611101</v>
      </c>
      <c r="D1054" s="3" t="s">
        <v>18</v>
      </c>
      <c r="E1054" s="3" t="s">
        <v>24</v>
      </c>
      <c r="F1054" s="3"/>
      <c r="G1054" s="2">
        <v>29580</v>
      </c>
      <c r="H1054" s="2" t="str">
        <f>VLOOKUP(G1054,Produtos!A:B,2,FALSE)</f>
        <v>STELLA ARTOIS PURE GOLD LN 330 SXP SH C4</v>
      </c>
      <c r="I1054" s="3" t="s">
        <v>493</v>
      </c>
      <c r="J105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5" spans="1:10" x14ac:dyDescent="0.25">
      <c r="A1055">
        <v>1054</v>
      </c>
      <c r="B1055" s="1">
        <v>45982.344664351796</v>
      </c>
      <c r="C1055" s="1">
        <v>45982.345219907402</v>
      </c>
      <c r="D1055" s="3" t="s">
        <v>18</v>
      </c>
      <c r="E1055" s="3" t="s">
        <v>26</v>
      </c>
      <c r="F1055" s="3"/>
      <c r="G1055" s="2">
        <v>17797</v>
      </c>
      <c r="H1055" s="2" t="str">
        <f>VLOOKUP(G1055,Produtos!A:B,2,FALSE)</f>
        <v>BRAHMA CHOPP LATA 350ML SH 18 MULTIPACK</v>
      </c>
      <c r="I1055" s="3" t="s">
        <v>493</v>
      </c>
      <c r="J105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6" spans="1:10" x14ac:dyDescent="0.25">
      <c r="A1056">
        <v>1055</v>
      </c>
      <c r="B1056" s="1">
        <v>45982.345983796302</v>
      </c>
      <c r="C1056" s="1">
        <v>45982.346469907403</v>
      </c>
      <c r="D1056" s="3" t="s">
        <v>18</v>
      </c>
      <c r="E1056" s="3" t="s">
        <v>21</v>
      </c>
      <c r="F1056" s="3"/>
      <c r="G1056" s="2">
        <v>9320</v>
      </c>
      <c r="H1056" s="2" t="str">
        <f>VLOOKUP(G1056,Produtos!A:B,2,FALSE)</f>
        <v>BRAHMA CHOPP LT 473ML SH C/12 NPAL</v>
      </c>
      <c r="I1056" s="3" t="s">
        <v>493</v>
      </c>
      <c r="J105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7" spans="1:10" x14ac:dyDescent="0.25">
      <c r="A1057">
        <v>1056</v>
      </c>
      <c r="B1057" s="1">
        <v>45982.420115740701</v>
      </c>
      <c r="C1057" s="1">
        <v>45982.420925925901</v>
      </c>
      <c r="D1057" s="3" t="s">
        <v>20</v>
      </c>
      <c r="E1057" s="3" t="s">
        <v>34</v>
      </c>
      <c r="F1057" s="3"/>
      <c r="G1057" s="2">
        <v>2349</v>
      </c>
      <c r="H1057" s="2" t="str">
        <f>VLOOKUP(G1057,Produtos!A:B,2,FALSE)</f>
        <v>GUARANA CHP ANTARCTICA PET 2L CAIXA C/6</v>
      </c>
      <c r="I1057" s="3" t="s">
        <v>496</v>
      </c>
      <c r="J105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8" spans="1:10" x14ac:dyDescent="0.25">
      <c r="A1058">
        <v>1057</v>
      </c>
      <c r="B1058" s="1">
        <v>45982.423125000001</v>
      </c>
      <c r="C1058" s="1">
        <v>45982.4238541667</v>
      </c>
      <c r="D1058" s="3" t="s">
        <v>20</v>
      </c>
      <c r="E1058" s="3" t="s">
        <v>21</v>
      </c>
      <c r="F1058" s="3"/>
      <c r="G1058" s="2">
        <v>9067</v>
      </c>
      <c r="H1058" s="2" t="str">
        <f>VLOOKUP(G1058,Produtos!A:B,2,FALSE)</f>
        <v>ANTARCTICA PILSEN LATA 350ML SH C/12 NPA</v>
      </c>
      <c r="I1058" s="3" t="s">
        <v>491</v>
      </c>
      <c r="J105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59" spans="1:10" x14ac:dyDescent="0.25">
      <c r="A1059">
        <v>1058</v>
      </c>
      <c r="B1059" s="1">
        <v>45982.423912036997</v>
      </c>
      <c r="C1059" s="1">
        <v>45982.424837963001</v>
      </c>
      <c r="D1059" s="3" t="s">
        <v>20</v>
      </c>
      <c r="E1059" s="3" t="s">
        <v>21</v>
      </c>
      <c r="F1059" s="3"/>
      <c r="G1059" s="2">
        <v>1166</v>
      </c>
      <c r="H1059" s="2" t="str">
        <f>VLOOKUP(G1059,Produtos!A:B,2,FALSE)</f>
        <v>SUKITA UVA PET 2L CAIXA C/6</v>
      </c>
      <c r="I1059" s="3" t="s">
        <v>495</v>
      </c>
      <c r="J105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0" spans="1:10" x14ac:dyDescent="0.25">
      <c r="A1060">
        <v>1059</v>
      </c>
      <c r="B1060" s="1">
        <v>45982.428738425901</v>
      </c>
      <c r="C1060" s="1">
        <v>45982.429409722201</v>
      </c>
      <c r="D1060" s="3" t="s">
        <v>20</v>
      </c>
      <c r="E1060" s="3" t="s">
        <v>21</v>
      </c>
      <c r="F1060" s="3"/>
      <c r="G1060" s="2">
        <v>12948</v>
      </c>
      <c r="H1060" s="2" t="str">
        <f>VLOOKUP(G1060,Produtos!A:B,2,FALSE)</f>
        <v>BRAHMA CHOPP ZERO LATA 350 SH CX C12 NPA</v>
      </c>
      <c r="I1060" s="3" t="s">
        <v>491</v>
      </c>
      <c r="J106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1" spans="1:10" x14ac:dyDescent="0.25">
      <c r="A1061">
        <v>1060</v>
      </c>
      <c r="B1061" s="1">
        <v>45982.430729166699</v>
      </c>
      <c r="C1061" s="1">
        <v>45982.431250000001</v>
      </c>
      <c r="D1061" s="3" t="s">
        <v>20</v>
      </c>
      <c r="E1061" s="3" t="s">
        <v>26</v>
      </c>
      <c r="F1061" s="3"/>
      <c r="G1061" s="2">
        <v>12948</v>
      </c>
      <c r="H1061" s="2" t="str">
        <f>VLOOKUP(G1061,Produtos!A:B,2,FALSE)</f>
        <v>BRAHMA CHOPP ZERO LATA 350 SH CX C12 NPA</v>
      </c>
      <c r="I1061" s="3" t="s">
        <v>491</v>
      </c>
      <c r="J106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2" spans="1:10" x14ac:dyDescent="0.25">
      <c r="A1062">
        <v>1061</v>
      </c>
      <c r="B1062" s="1">
        <v>45982.432835648098</v>
      </c>
      <c r="C1062" s="1">
        <v>45982.433379629598</v>
      </c>
      <c r="D1062" s="3" t="s">
        <v>20</v>
      </c>
      <c r="E1062" s="3" t="s">
        <v>24</v>
      </c>
      <c r="F1062" s="3"/>
      <c r="G1062" s="2">
        <v>9068</v>
      </c>
      <c r="H1062" s="2" t="str">
        <f>VLOOKUP(G1062,Produtos!A:B,2,FALSE)</f>
        <v>SKOL LATA 350ML SH C/12 NPAL</v>
      </c>
      <c r="I1062" s="3" t="s">
        <v>491</v>
      </c>
      <c r="J106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3" spans="1:10" x14ac:dyDescent="0.25">
      <c r="A1063">
        <v>1062</v>
      </c>
      <c r="B1063" s="1">
        <v>45982.454918981501</v>
      </c>
      <c r="C1063" s="1">
        <v>45982.455601851798</v>
      </c>
      <c r="D1063" s="3" t="s">
        <v>8</v>
      </c>
      <c r="E1063" s="3" t="s">
        <v>19</v>
      </c>
      <c r="F1063" s="3"/>
      <c r="G1063" s="3"/>
      <c r="H1063" s="3" t="e">
        <f>VLOOKUP(G1063,Produtos!A:B,2,FALSE)</f>
        <v>#N/A</v>
      </c>
      <c r="I1063" s="3"/>
      <c r="J106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4" spans="1:10" x14ac:dyDescent="0.25">
      <c r="A1064">
        <v>1063</v>
      </c>
      <c r="B1064" s="1">
        <v>45983.260405092602</v>
      </c>
      <c r="C1064" s="1">
        <v>45983.260821759301</v>
      </c>
      <c r="D1064" s="3" t="s">
        <v>20</v>
      </c>
      <c r="E1064" s="3" t="s">
        <v>24</v>
      </c>
      <c r="F1064" s="3"/>
      <c r="G1064" s="2">
        <v>9068</v>
      </c>
      <c r="H1064" s="2" t="str">
        <f>VLOOKUP(G1064,Produtos!A:B,2,FALSE)</f>
        <v>SKOL LATA 350ML SH C/12 NPAL</v>
      </c>
      <c r="I1064" s="3" t="s">
        <v>491</v>
      </c>
      <c r="J106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5" spans="1:10" x14ac:dyDescent="0.25">
      <c r="A1065">
        <v>1064</v>
      </c>
      <c r="B1065" s="1">
        <v>45985.482569444401</v>
      </c>
      <c r="C1065" s="1">
        <v>45985.4830671296</v>
      </c>
      <c r="D1065" s="3" t="s">
        <v>18</v>
      </c>
      <c r="E1065" s="3" t="s">
        <v>24</v>
      </c>
      <c r="F1065" s="3"/>
      <c r="G1065" s="2">
        <v>30942</v>
      </c>
      <c r="H1065" s="2" t="str">
        <f>VLOOKUP(G1065,Produtos!A:B,2,FALSE)</f>
        <v>SPATEN N LONG NECK 330ML SIX-PACK SH C4</v>
      </c>
      <c r="I1065" s="3" t="s">
        <v>493</v>
      </c>
      <c r="J106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6" spans="1:10" x14ac:dyDescent="0.25">
      <c r="A1066">
        <v>1065</v>
      </c>
      <c r="B1066" s="1">
        <v>45985.483310185198</v>
      </c>
      <c r="C1066" s="1">
        <v>45985.483958333301</v>
      </c>
      <c r="D1066" s="3" t="s">
        <v>18</v>
      </c>
      <c r="E1066" s="3" t="s">
        <v>24</v>
      </c>
      <c r="F1066" s="3"/>
      <c r="G1066" s="2">
        <v>13566</v>
      </c>
      <c r="H1066" s="2" t="str">
        <f>VLOOKUP(G1066,Produtos!A:B,2,FALSE)</f>
        <v>SKOL BEATS SENSES LATA 269ML CX C/8 FRID</v>
      </c>
      <c r="I1066" s="3" t="s">
        <v>493</v>
      </c>
      <c r="J106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7" spans="1:10" x14ac:dyDescent="0.25">
      <c r="A1067">
        <v>1066</v>
      </c>
      <c r="B1067" s="1">
        <v>45985.4862615741</v>
      </c>
      <c r="C1067" s="1">
        <v>45985.486689814803</v>
      </c>
      <c r="D1067" s="3" t="s">
        <v>18</v>
      </c>
      <c r="E1067" s="3" t="s">
        <v>24</v>
      </c>
      <c r="F1067" s="3"/>
      <c r="G1067" s="2">
        <v>9085</v>
      </c>
      <c r="H1067" s="2" t="str">
        <f>VLOOKUP(G1067,Produtos!A:B,2,FALSE)</f>
        <v>GUARANA CHP ANTARCT DIET LT350ML SHC/12</v>
      </c>
      <c r="I1067" s="3" t="s">
        <v>493</v>
      </c>
      <c r="J106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8" spans="1:10" x14ac:dyDescent="0.25">
      <c r="A1068">
        <v>1067</v>
      </c>
      <c r="B1068" s="1">
        <v>45985.487407407403</v>
      </c>
      <c r="C1068" s="1">
        <v>45985.487835648099</v>
      </c>
      <c r="D1068" s="3" t="s">
        <v>18</v>
      </c>
      <c r="E1068" s="3" t="s">
        <v>24</v>
      </c>
      <c r="F1068" s="3"/>
      <c r="G1068" s="2">
        <v>22180</v>
      </c>
      <c r="H1068" s="2" t="str">
        <f>VLOOKUP(G1068,Produtos!A:B,2,FALSE)</f>
        <v>BUDWEISER ZERO LN 330ML SIX-PACK SH C/4</v>
      </c>
      <c r="I1068" s="3" t="s">
        <v>493</v>
      </c>
      <c r="J106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69" spans="1:10" x14ac:dyDescent="0.25">
      <c r="A1069">
        <v>1068</v>
      </c>
      <c r="B1069" s="1">
        <v>45986.331759259301</v>
      </c>
      <c r="C1069" s="1">
        <v>45986.332280092603</v>
      </c>
      <c r="D1069" s="3" t="s">
        <v>18</v>
      </c>
      <c r="E1069" s="3" t="s">
        <v>24</v>
      </c>
      <c r="F1069" s="3"/>
      <c r="G1069" s="2">
        <v>34608</v>
      </c>
      <c r="H1069" s="2" t="str">
        <f>VLOOKUP(G1069,Produtos!A:B,2,FALSE)</f>
        <v>SKOL LATA 350ML SH C/12 MULTIPAK</v>
      </c>
      <c r="I1069" s="3" t="s">
        <v>493</v>
      </c>
      <c r="J106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0" spans="1:10" x14ac:dyDescent="0.25">
      <c r="A1070">
        <v>1069</v>
      </c>
      <c r="B1070" s="1">
        <v>45986.332905092597</v>
      </c>
      <c r="C1070" s="1">
        <v>45986.333425925899</v>
      </c>
      <c r="D1070" s="3" t="s">
        <v>20</v>
      </c>
      <c r="E1070" s="3" t="s">
        <v>26</v>
      </c>
      <c r="F1070" s="3"/>
      <c r="G1070" s="2">
        <v>1166</v>
      </c>
      <c r="H1070" s="2" t="str">
        <f>VLOOKUP(G1070,Produtos!A:B,2,FALSE)</f>
        <v>SUKITA UVA PET 2L CAIXA C/6</v>
      </c>
      <c r="I1070" s="3" t="s">
        <v>496</v>
      </c>
      <c r="J107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1" spans="1:10" x14ac:dyDescent="0.25">
      <c r="A1071">
        <v>1070</v>
      </c>
      <c r="B1071" s="1">
        <v>45986.334606481498</v>
      </c>
      <c r="C1071" s="1">
        <v>45986.3350347222</v>
      </c>
      <c r="D1071" s="3" t="s">
        <v>18</v>
      </c>
      <c r="E1071" s="3" t="s">
        <v>24</v>
      </c>
      <c r="F1071" s="3"/>
      <c r="G1071" s="2">
        <v>21658</v>
      </c>
      <c r="H1071" s="2" t="str">
        <f>VLOOKUP(G1071,Produtos!A:B,2,FALSE)</f>
        <v>SPATEN N LT SLEEK 350ML CX CART C12</v>
      </c>
      <c r="I1071" s="3" t="s">
        <v>493</v>
      </c>
      <c r="J107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2" spans="1:10" x14ac:dyDescent="0.25">
      <c r="A1072">
        <v>1071</v>
      </c>
      <c r="B1072" s="1">
        <v>45986.335370370398</v>
      </c>
      <c r="C1072" s="1">
        <v>45986.335740740702</v>
      </c>
      <c r="D1072" s="3" t="s">
        <v>20</v>
      </c>
      <c r="E1072" s="3" t="s">
        <v>24</v>
      </c>
      <c r="F1072" s="3"/>
      <c r="G1072" s="2">
        <v>21658</v>
      </c>
      <c r="H1072" s="2" t="str">
        <f>VLOOKUP(G1072,Produtos!A:B,2,FALSE)</f>
        <v>SPATEN N LT SLEEK 350ML CX CART C12</v>
      </c>
      <c r="I1072" s="3" t="s">
        <v>491</v>
      </c>
      <c r="J107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3" spans="1:10" x14ac:dyDescent="0.25">
      <c r="A1073">
        <v>1072</v>
      </c>
      <c r="B1073" s="1">
        <v>45987.392187500001</v>
      </c>
      <c r="C1073" s="1">
        <v>45987.392881944397</v>
      </c>
      <c r="D1073" s="3" t="s">
        <v>20</v>
      </c>
      <c r="E1073" s="3" t="s">
        <v>24</v>
      </c>
      <c r="F1073" s="3"/>
      <c r="G1073" s="2">
        <v>9068</v>
      </c>
      <c r="H1073" s="2" t="str">
        <f>VLOOKUP(G1073,Produtos!A:B,2,FALSE)</f>
        <v>SKOL LATA 350ML SH C/12 NPAL</v>
      </c>
      <c r="I1073" s="3" t="s">
        <v>502</v>
      </c>
      <c r="J107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4" spans="1:10" x14ac:dyDescent="0.25">
      <c r="A1074">
        <v>1073</v>
      </c>
      <c r="B1074" s="1">
        <v>45987.394895833299</v>
      </c>
      <c r="C1074" s="1">
        <v>45987.395347222198</v>
      </c>
      <c r="D1074" s="3" t="s">
        <v>20</v>
      </c>
      <c r="E1074" s="3" t="s">
        <v>24</v>
      </c>
      <c r="F1074" s="3"/>
      <c r="G1074" s="2">
        <v>9092</v>
      </c>
      <c r="H1074" s="2" t="str">
        <f>VLOOKUP(G1074,Produtos!A:B,2,FALSE)</f>
        <v>TONICA ANTARCTICA DIET LT350MLSHC/12 PAL</v>
      </c>
      <c r="I1074" s="3" t="s">
        <v>491</v>
      </c>
      <c r="J107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5" spans="1:10" x14ac:dyDescent="0.25">
      <c r="A1075">
        <v>1074</v>
      </c>
      <c r="B1075" s="1">
        <v>45987.396736111099</v>
      </c>
      <c r="C1075" s="1">
        <v>45987.397187499999</v>
      </c>
      <c r="D1075" s="3" t="s">
        <v>20</v>
      </c>
      <c r="E1075" s="3" t="s">
        <v>24</v>
      </c>
      <c r="F1075" s="3"/>
      <c r="G1075" s="2">
        <v>9085</v>
      </c>
      <c r="H1075" s="2" t="str">
        <f>VLOOKUP(G1075,Produtos!A:B,2,FALSE)</f>
        <v>GUARANA CHP ANTARCT DIET LT350ML SHC/12</v>
      </c>
      <c r="I1075" s="3" t="s">
        <v>491</v>
      </c>
      <c r="J107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6" spans="1:10" x14ac:dyDescent="0.25">
      <c r="A1076">
        <v>1075</v>
      </c>
      <c r="B1076" s="1">
        <v>45987.398518518501</v>
      </c>
      <c r="C1076" s="1">
        <v>45987.3989351852</v>
      </c>
      <c r="D1076" s="3" t="s">
        <v>20</v>
      </c>
      <c r="E1076" s="3" t="s">
        <v>26</v>
      </c>
      <c r="F1076" s="3"/>
      <c r="G1076" s="2">
        <v>19310</v>
      </c>
      <c r="H1076" s="2" t="str">
        <f>VLOOKUP(G1076,Produtos!A:B,2,FALSE)</f>
        <v>ORIGINAL LATA 350ML CX CARTAO C/12 NPAL</v>
      </c>
      <c r="I1076" s="3" t="s">
        <v>491</v>
      </c>
      <c r="J107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7" spans="1:10" x14ac:dyDescent="0.25">
      <c r="A1077">
        <v>1076</v>
      </c>
      <c r="B1077" s="1">
        <v>45987.399780092601</v>
      </c>
      <c r="C1077" s="1">
        <v>45987.400208333303</v>
      </c>
      <c r="D1077" s="3" t="s">
        <v>20</v>
      </c>
      <c r="E1077" s="3" t="s">
        <v>24</v>
      </c>
      <c r="F1077" s="3"/>
      <c r="G1077" s="2">
        <v>9274</v>
      </c>
      <c r="H1077" s="2" t="str">
        <f>VLOOKUP(G1077,Produtos!A:B,2,FALSE)</f>
        <v>PEPSI ZERO LATA 350ML SH C/12 NPAL</v>
      </c>
      <c r="I1077" s="3" t="s">
        <v>491</v>
      </c>
      <c r="J107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8" spans="1:10" x14ac:dyDescent="0.25">
      <c r="A1078">
        <v>1077</v>
      </c>
      <c r="B1078" s="1">
        <v>45987.402754629598</v>
      </c>
      <c r="C1078" s="1">
        <v>45987.403483796297</v>
      </c>
      <c r="D1078" s="3" t="s">
        <v>20</v>
      </c>
      <c r="E1078" s="3" t="s">
        <v>24</v>
      </c>
      <c r="F1078" s="3"/>
      <c r="G1078" s="2">
        <v>9320</v>
      </c>
      <c r="H1078" s="2" t="str">
        <f>VLOOKUP(G1078,Produtos!A:B,2,FALSE)</f>
        <v>BRAHMA CHOPP LT 473ML SH C/12 NPAL</v>
      </c>
      <c r="I1078" s="3" t="s">
        <v>491</v>
      </c>
      <c r="J107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79" spans="1:10" x14ac:dyDescent="0.25">
      <c r="A1079">
        <v>1078</v>
      </c>
      <c r="B1079" s="1">
        <v>45987.403449074103</v>
      </c>
      <c r="C1079" s="1">
        <v>45987.403946759303</v>
      </c>
      <c r="D1079" s="3" t="s">
        <v>18</v>
      </c>
      <c r="E1079" s="3" t="s">
        <v>24</v>
      </c>
      <c r="F1079" s="3"/>
      <c r="G1079" s="2">
        <v>9092</v>
      </c>
      <c r="H1079" s="2" t="str">
        <f>VLOOKUP(G1079,Produtos!A:B,2,FALSE)</f>
        <v>TONICA ANTARCTICA DIET LT350MLSHC/12 PAL</v>
      </c>
      <c r="I1079" s="3" t="s">
        <v>493</v>
      </c>
      <c r="J1079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0" spans="1:10" x14ac:dyDescent="0.25">
      <c r="A1080">
        <v>1079</v>
      </c>
      <c r="B1080" s="1">
        <v>45987.4069212963</v>
      </c>
      <c r="C1080" s="1">
        <v>45987.407488425903</v>
      </c>
      <c r="D1080" s="3" t="s">
        <v>20</v>
      </c>
      <c r="E1080" s="3" t="s">
        <v>21</v>
      </c>
      <c r="F1080" s="3"/>
      <c r="G1080" s="2">
        <v>9320</v>
      </c>
      <c r="H1080" s="2" t="str">
        <f>VLOOKUP(G1080,Produtos!A:B,2,FALSE)</f>
        <v>BRAHMA CHOPP LT 473ML SH C/12 NPAL</v>
      </c>
      <c r="I1080" s="3" t="s">
        <v>491</v>
      </c>
      <c r="J1080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1" spans="1:10" x14ac:dyDescent="0.25">
      <c r="A1081">
        <v>1080</v>
      </c>
      <c r="B1081" s="1">
        <v>45987.408113425903</v>
      </c>
      <c r="C1081" s="1">
        <v>45987.4086805556</v>
      </c>
      <c r="D1081" s="3" t="s">
        <v>18</v>
      </c>
      <c r="E1081" s="3" t="s">
        <v>21</v>
      </c>
      <c r="F1081" s="3"/>
      <c r="G1081" s="2">
        <v>14135</v>
      </c>
      <c r="H1081" s="2" t="str">
        <f>VLOOKUP(G1081,Produtos!A:B,2,FALSE)</f>
        <v>BUDWEISER LT 473ML SIX-PACK SH C/2 NPAL</v>
      </c>
      <c r="I1081" s="3" t="s">
        <v>493</v>
      </c>
      <c r="J1081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2" spans="1:10" x14ac:dyDescent="0.25">
      <c r="A1082">
        <v>1081</v>
      </c>
      <c r="B1082" s="1">
        <v>45989.472766203697</v>
      </c>
      <c r="C1082" s="1">
        <v>45989.473287036999</v>
      </c>
      <c r="D1082" s="3" t="s">
        <v>18</v>
      </c>
      <c r="E1082" s="3" t="s">
        <v>24</v>
      </c>
      <c r="F1082" s="3"/>
      <c r="G1082" s="2">
        <v>21658</v>
      </c>
      <c r="H1082" s="2" t="str">
        <f>VLOOKUP(G1082,Produtos!A:B,2,FALSE)</f>
        <v>SPATEN N LT SLEEK 350ML CX CART C12</v>
      </c>
      <c r="I1082" s="3" t="s">
        <v>493</v>
      </c>
      <c r="J1082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3" spans="1:10" x14ac:dyDescent="0.25">
      <c r="A1083">
        <v>1082</v>
      </c>
      <c r="B1083" s="1">
        <v>45989.473530092597</v>
      </c>
      <c r="C1083" s="1">
        <v>45989.474050925899</v>
      </c>
      <c r="D1083" s="3" t="s">
        <v>18</v>
      </c>
      <c r="E1083" s="3" t="s">
        <v>24</v>
      </c>
      <c r="F1083" s="3"/>
      <c r="G1083" s="2">
        <v>9096</v>
      </c>
      <c r="H1083" s="2" t="str">
        <f>VLOOKUP(G1083,Produtos!A:B,2,FALSE)</f>
        <v>PEPSI COLA LATA 350ML SH C/12 NPAL</v>
      </c>
      <c r="I1083" s="3" t="s">
        <v>493</v>
      </c>
      <c r="J1083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4" spans="1:10" x14ac:dyDescent="0.25">
      <c r="A1084">
        <v>1083</v>
      </c>
      <c r="B1084" s="1">
        <v>45989.475138888898</v>
      </c>
      <c r="C1084" s="1">
        <v>45989.475578703699</v>
      </c>
      <c r="D1084" s="3" t="s">
        <v>18</v>
      </c>
      <c r="E1084" s="3" t="s">
        <v>24</v>
      </c>
      <c r="F1084" s="3"/>
      <c r="G1084" s="2">
        <v>25837</v>
      </c>
      <c r="H1084" s="2" t="str">
        <f>VLOOKUP(G1084,Produtos!A:B,2,FALSE)</f>
        <v>SPATEN LT 473ML CX CARTAO C/12</v>
      </c>
      <c r="I1084" s="3" t="s">
        <v>493</v>
      </c>
      <c r="J1084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5" spans="1:10" x14ac:dyDescent="0.25">
      <c r="A1085">
        <v>1084</v>
      </c>
      <c r="B1085" s="1">
        <v>45989.475914351897</v>
      </c>
      <c r="C1085" s="1">
        <v>45989.476388888899</v>
      </c>
      <c r="D1085" s="3" t="s">
        <v>18</v>
      </c>
      <c r="E1085" s="3" t="s">
        <v>24</v>
      </c>
      <c r="F1085" s="3"/>
      <c r="G1085" s="2">
        <v>9085</v>
      </c>
      <c r="H1085" s="2" t="str">
        <f>VLOOKUP(G1085,Produtos!A:B,2,FALSE)</f>
        <v>GUARANA CHP ANTARCT DIET LT350ML SHC/12</v>
      </c>
      <c r="I1085" s="3" t="s">
        <v>493</v>
      </c>
      <c r="J1085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6" spans="1:10" x14ac:dyDescent="0.25">
      <c r="A1086">
        <v>1085</v>
      </c>
      <c r="B1086" s="1">
        <v>45989.476400462998</v>
      </c>
      <c r="C1086" s="1">
        <v>45989.476886574099</v>
      </c>
      <c r="D1086" s="3" t="s">
        <v>18</v>
      </c>
      <c r="E1086" s="3" t="s">
        <v>24</v>
      </c>
      <c r="F1086" s="3"/>
      <c r="G1086" s="2">
        <v>9085</v>
      </c>
      <c r="H1086" s="2" t="str">
        <f>VLOOKUP(G1086,Produtos!A:B,2,FALSE)</f>
        <v>GUARANA CHP ANTARCT DIET LT350ML SHC/12</v>
      </c>
      <c r="I1086" s="3" t="s">
        <v>493</v>
      </c>
      <c r="J1086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7" spans="1:10" x14ac:dyDescent="0.25">
      <c r="A1087">
        <v>1086</v>
      </c>
      <c r="B1087" s="1">
        <v>45989.4897569444</v>
      </c>
      <c r="C1087" s="1">
        <v>45989.4902083333</v>
      </c>
      <c r="D1087" s="3" t="s">
        <v>18</v>
      </c>
      <c r="E1087" s="3" t="s">
        <v>24</v>
      </c>
      <c r="F1087" s="3"/>
      <c r="G1087" s="2">
        <v>33818</v>
      </c>
      <c r="H1087" s="2" t="str">
        <f>VLOOKUP(G1087,Produtos!A:B,2,FALSE)</f>
        <v>ORIGINAL LT 350ML SH C/12 NP MULTIPACK</v>
      </c>
      <c r="I1087" s="3" t="s">
        <v>493</v>
      </c>
      <c r="J1087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8" spans="1:10" x14ac:dyDescent="0.25">
      <c r="A1088">
        <v>1087</v>
      </c>
      <c r="B1088" s="1">
        <v>45990.253495370402</v>
      </c>
      <c r="C1088" s="1">
        <v>45990.253958333298</v>
      </c>
      <c r="D1088" s="3" t="s">
        <v>18</v>
      </c>
      <c r="E1088" s="3" t="s">
        <v>24</v>
      </c>
      <c r="F1088" s="3"/>
      <c r="G1088" s="2">
        <v>9083</v>
      </c>
      <c r="H1088" s="2" t="str">
        <f>VLOOKUP(G1088,Produtos!A:B,2,FALSE)</f>
        <v>SKOL LT 473ML SH C/12 NPAL</v>
      </c>
      <c r="I1088" s="3" t="s">
        <v>493</v>
      </c>
      <c r="J1088" s="1" t="str">
        <f>YEAR(Table1[[#This Row],[Hora de início]])&amp;"/"&amp;IF(MONTH(Table1[[#This Row],[Hora de início]])&lt;10,"0"&amp;MONTH(Table1[[#This Row],[Hora de início]]),MONTH(Table1[[#This Row],[Hora de início]]))</f>
        <v>2025/11</v>
      </c>
    </row>
    <row r="1089" spans="1:10" x14ac:dyDescent="0.25">
      <c r="A1089">
        <v>1088</v>
      </c>
      <c r="B1089" s="1">
        <v>45992.486458333296</v>
      </c>
      <c r="C1089" s="1">
        <v>45992.486944444398</v>
      </c>
      <c r="D1089" s="3" t="s">
        <v>18</v>
      </c>
      <c r="E1089" s="3" t="s">
        <v>24</v>
      </c>
      <c r="F1089" s="3"/>
      <c r="G1089" s="2">
        <v>20498</v>
      </c>
      <c r="H1089" s="2" t="str">
        <f>VLOOKUP(G1089,Produtos!A:B,2,FALSE)</f>
        <v>BRAHMA DUPLO MALTE LT SLEEK 350ML SH C12</v>
      </c>
      <c r="I1089" s="3" t="s">
        <v>493</v>
      </c>
      <c r="J108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0" spans="1:10" x14ac:dyDescent="0.25">
      <c r="A1090">
        <v>1089</v>
      </c>
      <c r="B1090" s="1">
        <v>45992.488194444399</v>
      </c>
      <c r="C1090" s="1">
        <v>45992.488703703697</v>
      </c>
      <c r="D1090" s="3" t="s">
        <v>18</v>
      </c>
      <c r="E1090" s="3" t="s">
        <v>26</v>
      </c>
      <c r="F1090" s="3"/>
      <c r="G1090" s="2">
        <v>9069</v>
      </c>
      <c r="H1090" s="2" t="str">
        <f>VLOOKUP(G1090,Produtos!A:B,2,FALSE)</f>
        <v>BRAHMA CHOPP LATA 350ML SH C/12 NPAL</v>
      </c>
      <c r="I1090" s="3" t="s">
        <v>494</v>
      </c>
      <c r="J109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1" spans="1:10" x14ac:dyDescent="0.25">
      <c r="A1091">
        <v>1090</v>
      </c>
      <c r="B1091" s="1">
        <v>45992.489699074104</v>
      </c>
      <c r="C1091" s="1">
        <v>45992.490138888897</v>
      </c>
      <c r="D1091" s="3" t="s">
        <v>18</v>
      </c>
      <c r="E1091" s="3" t="s">
        <v>26</v>
      </c>
      <c r="F1091" s="3"/>
      <c r="G1091" s="2">
        <v>9067</v>
      </c>
      <c r="H1091" s="2" t="str">
        <f>VLOOKUP(G1091,Produtos!A:B,2,FALSE)</f>
        <v>ANTARCTICA PILSEN LATA 350ML SH C/12 NPA</v>
      </c>
      <c r="I1091" s="3" t="s">
        <v>493</v>
      </c>
      <c r="J109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2" spans="1:10" x14ac:dyDescent="0.25">
      <c r="A1092">
        <v>1091</v>
      </c>
      <c r="B1092" s="1">
        <v>46003.549560185202</v>
      </c>
      <c r="C1092" s="1">
        <v>46003.550162036998</v>
      </c>
      <c r="D1092" s="3" t="s">
        <v>8</v>
      </c>
      <c r="E1092" s="3" t="s">
        <v>19</v>
      </c>
      <c r="F1092" s="3"/>
      <c r="G1092" s="3"/>
      <c r="H1092" s="3" t="e">
        <f>VLOOKUP(G1092,Produtos!A:B,2,FALSE)</f>
        <v>#N/A</v>
      </c>
      <c r="I1092" s="3" t="s">
        <v>502</v>
      </c>
      <c r="J109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3" spans="1:10" x14ac:dyDescent="0.25">
      <c r="A1093">
        <v>1092</v>
      </c>
      <c r="B1093" s="1">
        <v>46007.369386574101</v>
      </c>
      <c r="C1093" s="1">
        <v>46007.370185185202</v>
      </c>
      <c r="D1093" s="3" t="s">
        <v>18</v>
      </c>
      <c r="E1093" s="3" t="s">
        <v>24</v>
      </c>
      <c r="F1093" s="3" t="s">
        <v>52</v>
      </c>
      <c r="G1093" s="2">
        <v>9069</v>
      </c>
      <c r="H1093" s="6" t="str">
        <f>VLOOKUP(G1093,Produtos!A:B,2,FALSE)</f>
        <v>BRAHMA CHOPP LATA 350ML SH C/12 NPAL</v>
      </c>
      <c r="I1093" s="3" t="s">
        <v>493</v>
      </c>
      <c r="J109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4" spans="1:10" x14ac:dyDescent="0.25">
      <c r="A1094">
        <v>1093</v>
      </c>
      <c r="B1094" s="1">
        <v>46007.371134259301</v>
      </c>
      <c r="C1094" s="1">
        <v>46007.371469907397</v>
      </c>
      <c r="D1094" s="3" t="s">
        <v>18</v>
      </c>
      <c r="E1094" s="3" t="s">
        <v>24</v>
      </c>
      <c r="F1094" s="3" t="s">
        <v>52</v>
      </c>
      <c r="G1094" s="2">
        <v>21020</v>
      </c>
      <c r="H1094" s="6" t="str">
        <f>VLOOKUP(G1094,Produtos!A:B,2,FALSE)</f>
        <v>BUDWEISER LT SLEEK 350ML CX CART C12</v>
      </c>
      <c r="I1094" s="3" t="s">
        <v>493</v>
      </c>
      <c r="J109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5" spans="1:10" x14ac:dyDescent="0.25">
      <c r="A1095">
        <v>1094</v>
      </c>
      <c r="B1095" s="1">
        <v>46007.372604166703</v>
      </c>
      <c r="C1095" s="1">
        <v>46007.3729282407</v>
      </c>
      <c r="D1095" s="3" t="s">
        <v>18</v>
      </c>
      <c r="E1095" s="3" t="s">
        <v>24</v>
      </c>
      <c r="F1095" s="3" t="s">
        <v>53</v>
      </c>
      <c r="G1095" s="2">
        <v>9096</v>
      </c>
      <c r="H1095" s="6" t="str">
        <f>VLOOKUP(G1095,Produtos!A:B,2,FALSE)</f>
        <v>PEPSI COLA LATA 350ML SH C/12 NPAL</v>
      </c>
      <c r="I1095" s="3" t="s">
        <v>493</v>
      </c>
      <c r="J109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6" spans="1:10" x14ac:dyDescent="0.25">
      <c r="A1096">
        <v>1095</v>
      </c>
      <c r="B1096" s="1">
        <v>46007.373773148101</v>
      </c>
      <c r="C1096" s="1">
        <v>46007.374039351896</v>
      </c>
      <c r="D1096" s="3" t="s">
        <v>18</v>
      </c>
      <c r="E1096" s="3" t="s">
        <v>24</v>
      </c>
      <c r="F1096" s="3" t="s">
        <v>54</v>
      </c>
      <c r="G1096" s="2">
        <v>9083</v>
      </c>
      <c r="H1096" s="6" t="str">
        <f>VLOOKUP(G1096,Produtos!A:B,2,FALSE)</f>
        <v>SKOL LT 473ML SH C/12 NPAL</v>
      </c>
      <c r="I1096" s="3" t="s">
        <v>493</v>
      </c>
      <c r="J109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7" spans="1:10" x14ac:dyDescent="0.25">
      <c r="A1097">
        <v>1096</v>
      </c>
      <c r="B1097" s="1">
        <v>46007.374247685198</v>
      </c>
      <c r="C1097" s="1">
        <v>46007.374525462998</v>
      </c>
      <c r="D1097" s="3" t="s">
        <v>22</v>
      </c>
      <c r="E1097" s="3" t="s">
        <v>24</v>
      </c>
      <c r="F1097" s="3" t="s">
        <v>55</v>
      </c>
      <c r="G1097" s="2">
        <v>9274</v>
      </c>
      <c r="H1097" s="6" t="str">
        <f>VLOOKUP(G1097,Produtos!A:B,2,FALSE)</f>
        <v>PEPSI ZERO LATA 350ML SH C/12 NPAL</v>
      </c>
      <c r="I1097" s="3" t="s">
        <v>493</v>
      </c>
      <c r="J109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8" spans="1:10" x14ac:dyDescent="0.25">
      <c r="A1098">
        <v>1097</v>
      </c>
      <c r="B1098" s="1">
        <v>46007.3754976852</v>
      </c>
      <c r="C1098" s="1">
        <v>46007.375775462999</v>
      </c>
      <c r="D1098" s="3" t="s">
        <v>18</v>
      </c>
      <c r="E1098" s="3" t="s">
        <v>24</v>
      </c>
      <c r="F1098" s="3" t="s">
        <v>56</v>
      </c>
      <c r="G1098" s="2">
        <v>9085</v>
      </c>
      <c r="H1098" s="6" t="str">
        <f>VLOOKUP(G1098,Produtos!A:B,2,FALSE)</f>
        <v>GUARANA CHP ANTARCT DIET LT350ML SHC/12</v>
      </c>
      <c r="I1098" s="3" t="s">
        <v>493</v>
      </c>
      <c r="J109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099" spans="1:10" x14ac:dyDescent="0.25">
      <c r="A1099">
        <v>1098</v>
      </c>
      <c r="B1099" s="1">
        <v>46007.376516203702</v>
      </c>
      <c r="C1099" s="1">
        <v>46007.376793981501</v>
      </c>
      <c r="D1099" s="3" t="s">
        <v>18</v>
      </c>
      <c r="E1099" s="3" t="s">
        <v>24</v>
      </c>
      <c r="F1099" s="3" t="s">
        <v>57</v>
      </c>
      <c r="G1099" s="2">
        <v>9085</v>
      </c>
      <c r="H1099" s="6" t="str">
        <f>VLOOKUP(G1099,Produtos!A:B,2,FALSE)</f>
        <v>GUARANA CHP ANTARCT DIET LT350ML SHC/12</v>
      </c>
      <c r="I1099" s="3" t="s">
        <v>493</v>
      </c>
      <c r="J109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0" spans="1:10" x14ac:dyDescent="0.25">
      <c r="A1100">
        <v>1099</v>
      </c>
      <c r="B1100" s="1">
        <v>46007.3776967593</v>
      </c>
      <c r="C1100" s="1">
        <v>46007.378020833297</v>
      </c>
      <c r="D1100" s="3" t="s">
        <v>18</v>
      </c>
      <c r="E1100" s="3" t="s">
        <v>24</v>
      </c>
      <c r="F1100" s="3" t="s">
        <v>58</v>
      </c>
      <c r="G1100" s="2">
        <v>33818</v>
      </c>
      <c r="H1100" s="6" t="str">
        <f>VLOOKUP(G1100,Produtos!A:B,2,FALSE)</f>
        <v>ORIGINAL LT 350ML SH C/12 NP MULTIPACK</v>
      </c>
      <c r="I1100" s="3" t="s">
        <v>493</v>
      </c>
      <c r="J110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1" spans="1:10" x14ac:dyDescent="0.25">
      <c r="A1101">
        <v>1100</v>
      </c>
      <c r="B1101" s="1">
        <v>46007.381157407399</v>
      </c>
      <c r="C1101" s="1">
        <v>46007.381828703699</v>
      </c>
      <c r="D1101" s="3" t="s">
        <v>18</v>
      </c>
      <c r="E1101" s="3" t="s">
        <v>21</v>
      </c>
      <c r="F1101" s="3" t="s">
        <v>59</v>
      </c>
      <c r="G1101" s="2">
        <v>12948</v>
      </c>
      <c r="H1101" s="6" t="str">
        <f>VLOOKUP(G1101,Produtos!A:B,2,FALSE)</f>
        <v>BRAHMA CHOPP ZERO LATA 350 SH CX C12 NPA</v>
      </c>
      <c r="I1101" s="3" t="s">
        <v>493</v>
      </c>
      <c r="J110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2" spans="1:10" x14ac:dyDescent="0.25">
      <c r="A1102">
        <v>1101</v>
      </c>
      <c r="B1102" s="1">
        <v>46007.382337962998</v>
      </c>
      <c r="C1102" s="1">
        <v>46007.382870370398</v>
      </c>
      <c r="D1102" s="3" t="s">
        <v>18</v>
      </c>
      <c r="E1102" s="3" t="s">
        <v>21</v>
      </c>
      <c r="F1102" s="3" t="s">
        <v>60</v>
      </c>
      <c r="G1102" s="2">
        <v>9274</v>
      </c>
      <c r="H1102" s="6" t="str">
        <f>VLOOKUP(G1102,Produtos!A:B,2,FALSE)</f>
        <v>PEPSI ZERO LATA 350ML SH C/12 NPAL</v>
      </c>
      <c r="I1102" s="3" t="s">
        <v>493</v>
      </c>
      <c r="J110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3" spans="1:10" x14ac:dyDescent="0.25">
      <c r="A1103">
        <v>1102</v>
      </c>
      <c r="B1103" s="1">
        <v>46007.383773148104</v>
      </c>
      <c r="C1103" s="1">
        <v>46007.384097222202</v>
      </c>
      <c r="D1103" s="3" t="s">
        <v>18</v>
      </c>
      <c r="E1103" s="3" t="s">
        <v>26</v>
      </c>
      <c r="F1103" s="3" t="s">
        <v>61</v>
      </c>
      <c r="G1103" s="2">
        <v>9274</v>
      </c>
      <c r="H1103" s="6" t="str">
        <f>VLOOKUP(G1103,Produtos!A:B,2,FALSE)</f>
        <v>PEPSI ZERO LATA 350ML SH C/12 NPAL</v>
      </c>
      <c r="I1103" s="3" t="s">
        <v>493</v>
      </c>
      <c r="J110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4" spans="1:10" x14ac:dyDescent="0.25">
      <c r="A1104">
        <v>1103</v>
      </c>
      <c r="B1104" s="1">
        <v>46007.3841203704</v>
      </c>
      <c r="C1104" s="1">
        <v>46007.384421296301</v>
      </c>
      <c r="D1104" s="3" t="s">
        <v>18</v>
      </c>
      <c r="E1104" s="3" t="s">
        <v>21</v>
      </c>
      <c r="F1104" s="3" t="s">
        <v>62</v>
      </c>
      <c r="G1104" s="2">
        <v>9274</v>
      </c>
      <c r="H1104" s="6" t="str">
        <f>VLOOKUP(G1104,Produtos!A:B,2,FALSE)</f>
        <v>PEPSI ZERO LATA 350ML SH C/12 NPAL</v>
      </c>
      <c r="I1104" s="3" t="s">
        <v>493</v>
      </c>
      <c r="J110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5" spans="1:10" x14ac:dyDescent="0.25">
      <c r="A1105">
        <v>1104</v>
      </c>
      <c r="B1105" s="1">
        <v>46007.385023148097</v>
      </c>
      <c r="C1105" s="1">
        <v>46007.385405092602</v>
      </c>
      <c r="D1105" s="3" t="s">
        <v>18</v>
      </c>
      <c r="E1105" s="3" t="s">
        <v>21</v>
      </c>
      <c r="F1105" s="3" t="s">
        <v>63</v>
      </c>
      <c r="G1105" s="2">
        <v>2349</v>
      </c>
      <c r="H1105" s="6" t="str">
        <f>VLOOKUP(G1105,Produtos!A:B,2,FALSE)</f>
        <v>GUARANA CHP ANTARCTICA PET 2L CAIXA C/6</v>
      </c>
      <c r="I1105" s="3" t="s">
        <v>493</v>
      </c>
      <c r="J110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6" spans="1:10" x14ac:dyDescent="0.25">
      <c r="A1106">
        <v>1105</v>
      </c>
      <c r="B1106" s="1">
        <v>46007.386018518497</v>
      </c>
      <c r="C1106" s="1">
        <v>46007.386307870402</v>
      </c>
      <c r="D1106" s="3" t="s">
        <v>18</v>
      </c>
      <c r="E1106" s="3" t="s">
        <v>21</v>
      </c>
      <c r="F1106" s="3" t="s">
        <v>64</v>
      </c>
      <c r="G1106" s="2">
        <v>2353</v>
      </c>
      <c r="H1106" s="6" t="str">
        <f>VLOOKUP(G1106,Produtos!A:B,2,FALSE)</f>
        <v>GUARANA CHP ANTARCTICA DIET PET 2L CXC/6</v>
      </c>
      <c r="I1106" s="3" t="s">
        <v>493</v>
      </c>
      <c r="J110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7" spans="1:10" x14ac:dyDescent="0.25">
      <c r="A1107" s="3">
        <v>1106</v>
      </c>
      <c r="B1107" s="1">
        <v>46008.634710648097</v>
      </c>
      <c r="C1107" s="1">
        <v>46008.635416666701</v>
      </c>
      <c r="D1107" s="3" t="s">
        <v>40</v>
      </c>
      <c r="E1107" s="3" t="s">
        <v>13</v>
      </c>
      <c r="F1107" s="3" t="s">
        <v>510</v>
      </c>
      <c r="G1107" s="3">
        <v>6911</v>
      </c>
      <c r="H1107" s="3" t="str">
        <f>VLOOKUP(G1107,Produtos!A:B,2,FALSE)</f>
        <v>AGUA M F DA ILHA S/G COPO 200ML CAIXA C/</v>
      </c>
      <c r="I1107" s="3" t="s">
        <v>492</v>
      </c>
      <c r="J110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8" spans="1:10" x14ac:dyDescent="0.25">
      <c r="A1108" s="3">
        <v>1107</v>
      </c>
      <c r="B1108" s="1">
        <v>46008.636006944398</v>
      </c>
      <c r="C1108" s="1">
        <v>46008.636516203696</v>
      </c>
      <c r="D1108" s="3" t="s">
        <v>40</v>
      </c>
      <c r="E1108" s="3" t="s">
        <v>13</v>
      </c>
      <c r="F1108" s="3" t="s">
        <v>511</v>
      </c>
      <c r="G1108" s="3">
        <v>7977</v>
      </c>
      <c r="H1108" s="3" t="str">
        <f>VLOOKUP(G1108,Produtos!A:B,2,FALSE)</f>
        <v>GATORADE UVA PET 500ML SIX PACK</v>
      </c>
      <c r="I1108" s="3" t="s">
        <v>492</v>
      </c>
      <c r="J110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09" spans="1:10" x14ac:dyDescent="0.25">
      <c r="A1109" s="3">
        <v>1108</v>
      </c>
      <c r="B1109" s="1">
        <v>46008.636018518497</v>
      </c>
      <c r="C1109" s="1">
        <v>46008.636527777802</v>
      </c>
      <c r="D1109" s="3" t="s">
        <v>40</v>
      </c>
      <c r="E1109" s="3" t="s">
        <v>13</v>
      </c>
      <c r="F1109" s="3" t="s">
        <v>511</v>
      </c>
      <c r="G1109" s="3">
        <v>7977</v>
      </c>
      <c r="H1109" s="3" t="str">
        <f>VLOOKUP(G1109,Produtos!A:B,2,FALSE)</f>
        <v>GATORADE UVA PET 500ML SIX PACK</v>
      </c>
      <c r="I1109" s="3" t="s">
        <v>492</v>
      </c>
      <c r="J110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0" spans="1:10" x14ac:dyDescent="0.25">
      <c r="A1110" s="3">
        <v>1109</v>
      </c>
      <c r="B1110" s="1">
        <v>46008.636990740699</v>
      </c>
      <c r="C1110" s="1">
        <v>46008.637847222199</v>
      </c>
      <c r="D1110" s="3" t="s">
        <v>40</v>
      </c>
      <c r="E1110" s="3" t="s">
        <v>26</v>
      </c>
      <c r="F1110" s="3" t="s">
        <v>512</v>
      </c>
      <c r="G1110" s="3">
        <v>504</v>
      </c>
      <c r="H1110" s="3" t="str">
        <f>VLOOKUP(G1110,Produtos!A:B,2,FALSE)</f>
        <v>PEPSI COLA PET 2L CAIXA C/6</v>
      </c>
      <c r="I1110" s="3" t="s">
        <v>492</v>
      </c>
      <c r="J111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1" spans="1:10" x14ac:dyDescent="0.25">
      <c r="A1111" s="3">
        <v>1110</v>
      </c>
      <c r="B1111" s="1">
        <v>46008.6378819444</v>
      </c>
      <c r="C1111" s="1">
        <v>46008.638414351903</v>
      </c>
      <c r="D1111" s="3" t="s">
        <v>40</v>
      </c>
      <c r="E1111" s="3" t="s">
        <v>26</v>
      </c>
      <c r="F1111" s="3" t="s">
        <v>512</v>
      </c>
      <c r="G1111" s="3">
        <v>504</v>
      </c>
      <c r="H1111" s="3" t="str">
        <f>VLOOKUP(G1111,Produtos!A:B,2,FALSE)</f>
        <v>PEPSI COLA PET 2L CAIXA C/6</v>
      </c>
      <c r="I1111" s="3" t="s">
        <v>492</v>
      </c>
      <c r="J111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2" spans="1:10" x14ac:dyDescent="0.25">
      <c r="A1112" s="3">
        <v>1111</v>
      </c>
      <c r="B1112" s="1">
        <v>46008.638449074097</v>
      </c>
      <c r="C1112" s="1">
        <v>46008.638888888898</v>
      </c>
      <c r="D1112" s="3" t="s">
        <v>40</v>
      </c>
      <c r="E1112" s="3" t="s">
        <v>26</v>
      </c>
      <c r="F1112" s="3" t="s">
        <v>512</v>
      </c>
      <c r="G1112" s="3">
        <v>504</v>
      </c>
      <c r="H1112" s="3" t="str">
        <f>VLOOKUP(G1112,Produtos!A:B,2,FALSE)</f>
        <v>PEPSI COLA PET 2L CAIXA C/6</v>
      </c>
      <c r="I1112" s="3" t="s">
        <v>492</v>
      </c>
      <c r="J111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3" spans="1:10" x14ac:dyDescent="0.25">
      <c r="A1113" s="3">
        <v>1112</v>
      </c>
      <c r="B1113" s="1">
        <v>46008.639826388899</v>
      </c>
      <c r="C1113" s="1">
        <v>46008.640462962998</v>
      </c>
      <c r="D1113" s="3" t="s">
        <v>40</v>
      </c>
      <c r="E1113" s="3" t="s">
        <v>26</v>
      </c>
      <c r="F1113" s="3" t="s">
        <v>513</v>
      </c>
      <c r="G1113" s="3">
        <v>2349</v>
      </c>
      <c r="H1113" s="3" t="str">
        <f>VLOOKUP(G1113,Produtos!A:B,2,FALSE)</f>
        <v>GUARANA CHP ANTARCTICA PET 2L CAIXA C/6</v>
      </c>
      <c r="I1113" s="3" t="s">
        <v>492</v>
      </c>
      <c r="J111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4" spans="1:10" x14ac:dyDescent="0.25">
      <c r="A1114" s="3">
        <v>1113</v>
      </c>
      <c r="B1114" s="1">
        <v>46008.642141203702</v>
      </c>
      <c r="C1114" s="1">
        <v>46008.642638888901</v>
      </c>
      <c r="D1114" s="3" t="s">
        <v>40</v>
      </c>
      <c r="E1114" s="3" t="s">
        <v>26</v>
      </c>
      <c r="F1114" s="3" t="s">
        <v>514</v>
      </c>
      <c r="G1114" s="3">
        <v>2353</v>
      </c>
      <c r="H1114" s="3" t="str">
        <f>VLOOKUP(G1114,Produtos!A:B,2,FALSE)</f>
        <v>GUARANA CHP ANTARCTICA DIET PET 2L CXC/6</v>
      </c>
      <c r="I1114" s="3" t="s">
        <v>492</v>
      </c>
      <c r="J111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5" spans="1:10" x14ac:dyDescent="0.25">
      <c r="A1115" s="3">
        <v>1114</v>
      </c>
      <c r="B1115" s="1">
        <v>46008.644120370402</v>
      </c>
      <c r="C1115" s="1">
        <v>46008.644710648099</v>
      </c>
      <c r="D1115" s="3" t="s">
        <v>40</v>
      </c>
      <c r="E1115" s="3" t="s">
        <v>24</v>
      </c>
      <c r="F1115" s="3" t="s">
        <v>515</v>
      </c>
      <c r="G1115" s="3">
        <v>17797</v>
      </c>
      <c r="H1115" s="3" t="str">
        <f>VLOOKUP(G1115,Produtos!A:B,2,FALSE)</f>
        <v>BRAHMA CHOPP LATA 350ML SH 18 MULTIPACK</v>
      </c>
      <c r="I1115" s="3" t="s">
        <v>491</v>
      </c>
      <c r="J111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6" spans="1:10" x14ac:dyDescent="0.25">
      <c r="A1116" s="3">
        <v>1115</v>
      </c>
      <c r="B1116" s="1">
        <v>46008.645115740699</v>
      </c>
      <c r="C1116" s="1">
        <v>46008.645624999997</v>
      </c>
      <c r="D1116" s="3" t="s">
        <v>40</v>
      </c>
      <c r="E1116" s="3" t="s">
        <v>26</v>
      </c>
      <c r="F1116" s="3" t="s">
        <v>516</v>
      </c>
      <c r="G1116" s="3">
        <v>9276</v>
      </c>
      <c r="H1116" s="3" t="str">
        <f>VLOOKUP(G1116,Produtos!A:B,2,FALSE)</f>
        <v>PEPSI ZERO PET 2L CX C/6</v>
      </c>
      <c r="I1116" s="3" t="s">
        <v>492</v>
      </c>
      <c r="J111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7" spans="1:10" x14ac:dyDescent="0.25">
      <c r="A1117" s="3">
        <v>1116</v>
      </c>
      <c r="B1117" s="1">
        <v>46008.645706018498</v>
      </c>
      <c r="C1117" s="1">
        <v>46008.6461921296</v>
      </c>
      <c r="D1117" s="3" t="s">
        <v>40</v>
      </c>
      <c r="E1117" s="3" t="s">
        <v>26</v>
      </c>
      <c r="F1117" s="3" t="s">
        <v>516</v>
      </c>
      <c r="G1117" s="3">
        <v>9276</v>
      </c>
      <c r="H1117" s="3" t="str">
        <f>VLOOKUP(G1117,Produtos!A:B,2,FALSE)</f>
        <v>PEPSI ZERO PET 2L CX C/6</v>
      </c>
      <c r="I1117" s="3" t="s">
        <v>492</v>
      </c>
      <c r="J1117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8" spans="1:10" x14ac:dyDescent="0.25">
      <c r="A1118" s="3">
        <v>1117</v>
      </c>
      <c r="B1118" s="1">
        <v>46008.648310185199</v>
      </c>
      <c r="C1118" s="1">
        <v>46008.648738425902</v>
      </c>
      <c r="D1118" s="3" t="s">
        <v>40</v>
      </c>
      <c r="E1118" s="3" t="s">
        <v>24</v>
      </c>
      <c r="F1118" s="3" t="s">
        <v>517</v>
      </c>
      <c r="G1118" s="3">
        <v>12948</v>
      </c>
      <c r="H1118" s="3" t="str">
        <f>VLOOKUP(G1118,Produtos!A:B,2,FALSE)</f>
        <v>BRAHMA CHOPP ZERO LATA 350 SH CX C12 NPA</v>
      </c>
      <c r="I1118" s="3" t="s">
        <v>491</v>
      </c>
      <c r="J1118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19" spans="1:10" x14ac:dyDescent="0.25">
      <c r="A1119" s="3">
        <v>1118</v>
      </c>
      <c r="B1119" s="1">
        <v>46008.650381944397</v>
      </c>
      <c r="C1119" s="1">
        <v>46008.650787036997</v>
      </c>
      <c r="D1119" s="3" t="s">
        <v>40</v>
      </c>
      <c r="E1119" s="3" t="s">
        <v>26</v>
      </c>
      <c r="F1119" s="3" t="s">
        <v>518</v>
      </c>
      <c r="G1119" s="3">
        <v>18341</v>
      </c>
      <c r="H1119" s="3" t="str">
        <f>VLOOKUP(G1119,Produtos!A:B,2,FALSE)</f>
        <v>PEPSI COLA PET 3000 ML C/04 SH LISO.</v>
      </c>
      <c r="I1119" s="3" t="s">
        <v>492</v>
      </c>
      <c r="J1119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0" spans="1:10" x14ac:dyDescent="0.25">
      <c r="A1120" s="3">
        <v>1119</v>
      </c>
      <c r="B1120" s="1">
        <v>46008.651828703703</v>
      </c>
      <c r="C1120" s="1">
        <v>46008.652395833298</v>
      </c>
      <c r="D1120" s="3" t="s">
        <v>40</v>
      </c>
      <c r="E1120" s="3" t="s">
        <v>26</v>
      </c>
      <c r="F1120" s="3" t="s">
        <v>519</v>
      </c>
      <c r="G1120" s="3">
        <v>23269</v>
      </c>
      <c r="H1120" s="3" t="str">
        <f>VLOOKUP(G1120,Produtos!A:B,2,FALSE)</f>
        <v>SKOL BEATS GT LN 269ML SIX-PACK SH C/4</v>
      </c>
      <c r="I1120" s="3" t="s">
        <v>505</v>
      </c>
      <c r="J1120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1" spans="1:10" x14ac:dyDescent="0.25">
      <c r="A1121" s="3">
        <v>1120</v>
      </c>
      <c r="B1121" s="1">
        <v>46008.653657407398</v>
      </c>
      <c r="C1121" s="1">
        <v>46008.654201388897</v>
      </c>
      <c r="D1121" s="3" t="s">
        <v>40</v>
      </c>
      <c r="E1121" s="3" t="s">
        <v>26</v>
      </c>
      <c r="F1121" s="3" t="s">
        <v>513</v>
      </c>
      <c r="G1121" s="3">
        <v>18341</v>
      </c>
      <c r="H1121" s="3" t="str">
        <f>VLOOKUP(G1121,Produtos!A:B,2,FALSE)</f>
        <v>PEPSI COLA PET 3000 ML C/04 SH LISO.</v>
      </c>
      <c r="I1121" s="3" t="s">
        <v>505</v>
      </c>
      <c r="J1121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2" spans="1:10" x14ac:dyDescent="0.25">
      <c r="A1122" s="3">
        <v>1121</v>
      </c>
      <c r="B1122" s="1">
        <v>46008.655231481498</v>
      </c>
      <c r="C1122" s="1">
        <v>46008.655590277798</v>
      </c>
      <c r="D1122" s="3" t="s">
        <v>40</v>
      </c>
      <c r="E1122" s="3" t="s">
        <v>26</v>
      </c>
      <c r="F1122" s="3" t="s">
        <v>517</v>
      </c>
      <c r="G1122" s="3">
        <v>11556</v>
      </c>
      <c r="H1122" s="3" t="e">
        <f>VLOOKUP(G1122,Produtos!A:B,2,FALSE)</f>
        <v>#N/A</v>
      </c>
      <c r="I1122" s="3" t="s">
        <v>492</v>
      </c>
      <c r="J1122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3" spans="1:10" x14ac:dyDescent="0.25">
      <c r="A1123" s="3">
        <v>1122</v>
      </c>
      <c r="B1123" s="1">
        <v>46010.4163078704</v>
      </c>
      <c r="C1123" s="1">
        <v>46010.416643518503</v>
      </c>
      <c r="D1123" s="3" t="s">
        <v>18</v>
      </c>
      <c r="E1123" s="3" t="s">
        <v>24</v>
      </c>
      <c r="F1123" s="3" t="s">
        <v>520</v>
      </c>
      <c r="G1123" s="3">
        <v>9071</v>
      </c>
      <c r="H1123" s="3" t="str">
        <f>VLOOKUP(G1123,Produtos!A:B,2,FALSE)</f>
        <v>CARACU LATA 350ML SH C/12 NPAL</v>
      </c>
      <c r="I1123" s="3" t="s">
        <v>493</v>
      </c>
      <c r="J1123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4" spans="1:10" x14ac:dyDescent="0.25">
      <c r="A1124" s="3">
        <v>1123</v>
      </c>
      <c r="B1124" s="1">
        <v>46010.418310185203</v>
      </c>
      <c r="C1124" s="1">
        <v>46010.418587963002</v>
      </c>
      <c r="D1124" s="3" t="s">
        <v>18</v>
      </c>
      <c r="E1124" s="3" t="s">
        <v>24</v>
      </c>
      <c r="F1124" s="3" t="s">
        <v>53</v>
      </c>
      <c r="G1124" s="3">
        <v>9096</v>
      </c>
      <c r="H1124" s="3" t="str">
        <f>VLOOKUP(G1124,Produtos!A:B,2,FALSE)</f>
        <v>PEPSI COLA LATA 350ML SH C/12 NPAL</v>
      </c>
      <c r="I1124" s="3" t="s">
        <v>493</v>
      </c>
      <c r="J1124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5" spans="1:10" x14ac:dyDescent="0.25">
      <c r="A1125" s="3">
        <v>1124</v>
      </c>
      <c r="B1125" s="1">
        <v>46010.419224537</v>
      </c>
      <c r="C1125" s="1">
        <v>46010.419675925899</v>
      </c>
      <c r="D1125" s="3" t="s">
        <v>18</v>
      </c>
      <c r="E1125" s="3" t="s">
        <v>24</v>
      </c>
      <c r="F1125" s="3" t="s">
        <v>521</v>
      </c>
      <c r="G1125" s="3">
        <v>20651</v>
      </c>
      <c r="H1125" s="3" t="str">
        <f>VLOOKUP(G1125,Produtos!A:B,2,FALSE)</f>
        <v>CORONA N LT SLEEK 350ML CX 8</v>
      </c>
      <c r="I1125" s="3" t="s">
        <v>493</v>
      </c>
      <c r="J1125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6" spans="1:10" x14ac:dyDescent="0.25">
      <c r="A1126" s="3">
        <v>1125</v>
      </c>
      <c r="B1126" s="1">
        <v>46013.424907407403</v>
      </c>
      <c r="C1126" s="1">
        <v>46013.425625000003</v>
      </c>
      <c r="D1126" s="3" t="s">
        <v>8</v>
      </c>
      <c r="E1126" s="3" t="s">
        <v>33</v>
      </c>
      <c r="F1126" s="3"/>
      <c r="G1126" s="3"/>
      <c r="H1126" s="3" t="e">
        <f>VLOOKUP(G1126,Produtos!A:B,2,FALSE)</f>
        <v>#N/A</v>
      </c>
      <c r="I1126" s="3" t="s">
        <v>522</v>
      </c>
      <c r="J1126" s="1" t="str">
        <f>YEAR(Table1[[#This Row],[Hora de início]])&amp;"/"&amp;IF(MONTH(Table1[[#This Row],[Hora de início]])&lt;10,"0"&amp;MONTH(Table1[[#This Row],[Hora de início]]),MONTH(Table1[[#This Row],[Hora de início]]))</f>
        <v>2025/12</v>
      </c>
    </row>
    <row r="1127" spans="1:10" x14ac:dyDescent="0.25">
      <c r="A1127" s="3">
        <v>1126</v>
      </c>
      <c r="B1127" s="1">
        <v>46024.458356481497</v>
      </c>
      <c r="C1127" s="1">
        <v>46024.459328703699</v>
      </c>
      <c r="D1127" s="3" t="s">
        <v>40</v>
      </c>
      <c r="E1127" s="3" t="s">
        <v>24</v>
      </c>
      <c r="F1127" s="3"/>
      <c r="G1127" s="3">
        <v>32969</v>
      </c>
      <c r="H1127" s="3" t="str">
        <f>VLOOKUP(G1127,Produtos!A:B,2,FALSE)</f>
        <v>RED BULL S MOR E PESSEGO LT 250ML FOUR P</v>
      </c>
      <c r="I1127" s="3" t="s">
        <v>523</v>
      </c>
      <c r="J112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28" spans="1:10" x14ac:dyDescent="0.25">
      <c r="A1128" s="3">
        <v>1127</v>
      </c>
      <c r="B1128" s="1">
        <v>46024.470115740703</v>
      </c>
      <c r="C1128" s="1">
        <v>46024.470694444397</v>
      </c>
      <c r="D1128" s="3" t="s">
        <v>40</v>
      </c>
      <c r="E1128" s="3" t="s">
        <v>26</v>
      </c>
      <c r="F1128" s="3"/>
      <c r="G1128" s="3">
        <v>7979</v>
      </c>
      <c r="H1128" s="3" t="str">
        <f>VLOOKUP(G1128,Produtos!A:B,2,FALSE)</f>
        <v>GATORADE FRUTAS CITR PET 500ML SIX PACK</v>
      </c>
      <c r="I1128" s="3" t="s">
        <v>492</v>
      </c>
      <c r="J112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29" spans="1:10" x14ac:dyDescent="0.25">
      <c r="A1129" s="3">
        <v>1128</v>
      </c>
      <c r="B1129" s="1">
        <v>46024.470752314803</v>
      </c>
      <c r="C1129" s="1">
        <v>46024.471192129597</v>
      </c>
      <c r="D1129" s="3" t="s">
        <v>40</v>
      </c>
      <c r="E1129" s="3" t="s">
        <v>26</v>
      </c>
      <c r="F1129" s="3"/>
      <c r="G1129" s="3">
        <v>504</v>
      </c>
      <c r="H1129" s="3" t="str">
        <f>VLOOKUP(G1129,Produtos!A:B,2,FALSE)</f>
        <v>PEPSI COLA PET 2L CAIXA C/6</v>
      </c>
      <c r="I1129" s="3" t="s">
        <v>492</v>
      </c>
      <c r="J112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0" spans="1:10" x14ac:dyDescent="0.25">
      <c r="A1130" s="3">
        <v>1129</v>
      </c>
      <c r="B1130" s="1">
        <v>46024.471215277801</v>
      </c>
      <c r="C1130" s="1">
        <v>46024.471574074101</v>
      </c>
      <c r="D1130" s="3" t="s">
        <v>40</v>
      </c>
      <c r="E1130" s="3" t="s">
        <v>26</v>
      </c>
      <c r="F1130" s="3"/>
      <c r="G1130" s="3">
        <v>504</v>
      </c>
      <c r="H1130" s="3" t="str">
        <f>VLOOKUP(G1130,Produtos!A:B,2,FALSE)</f>
        <v>PEPSI COLA PET 2L CAIXA C/6</v>
      </c>
      <c r="I1130" s="3" t="s">
        <v>492</v>
      </c>
      <c r="J113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1" spans="1:10" x14ac:dyDescent="0.25">
      <c r="A1131" s="3">
        <v>1130</v>
      </c>
      <c r="B1131" s="1">
        <v>46024.471631944398</v>
      </c>
      <c r="C1131" s="1">
        <v>46024.471967592603</v>
      </c>
      <c r="D1131" s="3" t="s">
        <v>40</v>
      </c>
      <c r="E1131" s="3" t="s">
        <v>24</v>
      </c>
      <c r="F1131" s="3"/>
      <c r="G1131" s="3">
        <v>9069</v>
      </c>
      <c r="H1131" s="3" t="str">
        <f>VLOOKUP(G1131,Produtos!A:B,2,FALSE)</f>
        <v>BRAHMA CHOPP LATA 350ML SH C/12 NPAL</v>
      </c>
      <c r="I1131" s="3" t="s">
        <v>492</v>
      </c>
      <c r="J113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2" spans="1:10" x14ac:dyDescent="0.25">
      <c r="A1132" s="3">
        <v>1131</v>
      </c>
      <c r="B1132" s="1">
        <v>46024.471990740698</v>
      </c>
      <c r="C1132" s="1">
        <v>46024.472395833298</v>
      </c>
      <c r="D1132" s="3" t="s">
        <v>40</v>
      </c>
      <c r="E1132" s="3" t="s">
        <v>26</v>
      </c>
      <c r="F1132" s="3"/>
      <c r="G1132" s="3">
        <v>7983</v>
      </c>
      <c r="H1132" s="3" t="str">
        <f>VLOOKUP(G1132,Produtos!A:B,2,FALSE)</f>
        <v>GATORADE MORANGO MARACUJA PET500ML SIXPA</v>
      </c>
      <c r="I1132" s="3" t="s">
        <v>492</v>
      </c>
      <c r="J113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3" spans="1:10" x14ac:dyDescent="0.25">
      <c r="A1133" s="3">
        <v>1132</v>
      </c>
      <c r="B1133" s="1">
        <v>46024.472407407397</v>
      </c>
      <c r="C1133" s="1">
        <v>46024.473113425898</v>
      </c>
      <c r="D1133" s="3" t="s">
        <v>40</v>
      </c>
      <c r="E1133" s="3" t="s">
        <v>26</v>
      </c>
      <c r="F1133" s="3"/>
      <c r="G1133" s="3">
        <v>18341</v>
      </c>
      <c r="H1133" s="3" t="str">
        <f>VLOOKUP(G1133,Produtos!A:B,2,FALSE)</f>
        <v>PEPSI COLA PET 3000 ML C/04 SH LISO.</v>
      </c>
      <c r="I1133" s="3" t="s">
        <v>505</v>
      </c>
      <c r="J113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4" spans="1:10" x14ac:dyDescent="0.25">
      <c r="A1134" s="3">
        <v>1133</v>
      </c>
      <c r="B1134" s="1">
        <v>46024.473124999997</v>
      </c>
      <c r="C1134" s="1">
        <v>46024.473645833299</v>
      </c>
      <c r="D1134" s="3" t="s">
        <v>40</v>
      </c>
      <c r="E1134" s="3" t="s">
        <v>26</v>
      </c>
      <c r="F1134" s="3"/>
      <c r="G1134" s="3">
        <v>503</v>
      </c>
      <c r="H1134" s="3" t="str">
        <f>VLOOKUP(G1134,Produtos!A:B,2,FALSE)</f>
        <v>SUKITA PET 2L CAIXA C/6</v>
      </c>
      <c r="I1134" s="3" t="s">
        <v>492</v>
      </c>
      <c r="J113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5" spans="1:10" x14ac:dyDescent="0.25">
      <c r="A1135" s="3">
        <v>1134</v>
      </c>
      <c r="B1135" s="1">
        <v>46024.473692129599</v>
      </c>
      <c r="C1135" s="1">
        <v>46024.4741319444</v>
      </c>
      <c r="D1135" s="3" t="s">
        <v>40</v>
      </c>
      <c r="E1135" s="3" t="s">
        <v>26</v>
      </c>
      <c r="F1135" s="3"/>
      <c r="G1135" s="3">
        <v>2350</v>
      </c>
      <c r="H1135" s="3" t="str">
        <f>VLOOKUP(G1135,Produtos!A:B,2,FALSE)</f>
        <v>SODA LIMONADA ANTARCTICA PET 2L CX C/6</v>
      </c>
      <c r="I1135" s="3" t="s">
        <v>492</v>
      </c>
      <c r="J113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6" spans="1:10" x14ac:dyDescent="0.25">
      <c r="A1136" s="3">
        <v>1135</v>
      </c>
      <c r="B1136" s="1">
        <v>46024.474189814799</v>
      </c>
      <c r="C1136" s="1">
        <v>46024.474618055603</v>
      </c>
      <c r="D1136" s="3" t="s">
        <v>40</v>
      </c>
      <c r="E1136" s="3" t="s">
        <v>26</v>
      </c>
      <c r="F1136" s="3"/>
      <c r="G1136" s="3">
        <v>2350</v>
      </c>
      <c r="H1136" s="3" t="str">
        <f>VLOOKUP(G1136,Produtos!A:B,2,FALSE)</f>
        <v>SODA LIMONADA ANTARCTICA PET 2L CX C/6</v>
      </c>
      <c r="I1136" s="3" t="s">
        <v>492</v>
      </c>
      <c r="J113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7" spans="1:10" x14ac:dyDescent="0.25">
      <c r="A1137" s="3">
        <v>1136</v>
      </c>
      <c r="B1137" s="1">
        <v>46025.264166666697</v>
      </c>
      <c r="C1137" s="1">
        <v>46025.264629629601</v>
      </c>
      <c r="D1137" s="3" t="s">
        <v>18</v>
      </c>
      <c r="E1137" s="3" t="s">
        <v>21</v>
      </c>
      <c r="F1137" s="3"/>
      <c r="G1137" s="3">
        <v>9089</v>
      </c>
      <c r="H1137" s="3" t="str">
        <f>VLOOKUP(G1137,Produtos!A:B,2,FALSE)</f>
        <v>SUKITA LATA 350ML SH C/12 NPAL</v>
      </c>
      <c r="I1137" s="3" t="s">
        <v>493</v>
      </c>
      <c r="J113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8" spans="1:10" x14ac:dyDescent="0.25">
      <c r="A1138" s="3">
        <v>1137</v>
      </c>
      <c r="B1138" s="1">
        <v>46025.268831018497</v>
      </c>
      <c r="C1138" s="1">
        <v>46025.269293981502</v>
      </c>
      <c r="D1138" s="3" t="s">
        <v>18</v>
      </c>
      <c r="E1138" s="3" t="s">
        <v>21</v>
      </c>
      <c r="F1138" s="3"/>
      <c r="G1138" s="3">
        <v>9069</v>
      </c>
      <c r="H1138" s="3" t="str">
        <f>VLOOKUP(G1138,Produtos!A:B,2,FALSE)</f>
        <v>BRAHMA CHOPP LATA 350ML SH C/12 NPAL</v>
      </c>
      <c r="I1138" s="3" t="s">
        <v>493</v>
      </c>
      <c r="J113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39" spans="1:10" x14ac:dyDescent="0.25">
      <c r="A1139" s="3">
        <v>1138</v>
      </c>
      <c r="B1139" s="1">
        <v>46025.269930555602</v>
      </c>
      <c r="C1139" s="1">
        <v>46025.270231481503</v>
      </c>
      <c r="D1139" s="3" t="s">
        <v>18</v>
      </c>
      <c r="E1139" s="3" t="s">
        <v>26</v>
      </c>
      <c r="F1139" s="3"/>
      <c r="G1139" s="3">
        <v>9067</v>
      </c>
      <c r="H1139" s="3" t="str">
        <f>VLOOKUP(G1139,Produtos!A:B,2,FALSE)</f>
        <v>ANTARCTICA PILSEN LATA 350ML SH C/12 NPA</v>
      </c>
      <c r="I1139" s="3" t="s">
        <v>493</v>
      </c>
      <c r="J113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0" spans="1:10" x14ac:dyDescent="0.25">
      <c r="A1140" s="3">
        <v>1139</v>
      </c>
      <c r="B1140" s="1">
        <v>46025.272233796299</v>
      </c>
      <c r="C1140" s="1">
        <v>46025.272604166697</v>
      </c>
      <c r="D1140" s="3" t="s">
        <v>18</v>
      </c>
      <c r="E1140" s="3" t="s">
        <v>24</v>
      </c>
      <c r="F1140" s="3"/>
      <c r="G1140" s="3">
        <v>13566</v>
      </c>
      <c r="H1140" s="3" t="str">
        <f>VLOOKUP(G1140,Produtos!A:B,2,FALSE)</f>
        <v>SKOL BEATS SENSES LATA 269ML CX C/8 FRID</v>
      </c>
      <c r="I1140" s="3" t="s">
        <v>493</v>
      </c>
      <c r="J114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1" spans="1:10" x14ac:dyDescent="0.25">
      <c r="A1141" s="3">
        <v>1140</v>
      </c>
      <c r="B1141" s="1">
        <v>46025.272685185198</v>
      </c>
      <c r="C1141" s="1">
        <v>46025.2729861111</v>
      </c>
      <c r="D1141" s="3" t="s">
        <v>18</v>
      </c>
      <c r="E1141" s="3" t="s">
        <v>24</v>
      </c>
      <c r="F1141" s="3"/>
      <c r="G1141" s="3">
        <v>13566</v>
      </c>
      <c r="H1141" s="3" t="str">
        <f>VLOOKUP(G1141,Produtos!A:B,2,FALSE)</f>
        <v>SKOL BEATS SENSES LATA 269ML CX C/8 FRID</v>
      </c>
      <c r="I1141" s="3" t="s">
        <v>493</v>
      </c>
      <c r="J114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2" spans="1:10" x14ac:dyDescent="0.25">
      <c r="A1142" s="3">
        <v>1141</v>
      </c>
      <c r="B1142" s="1">
        <v>46025.2742476852</v>
      </c>
      <c r="C1142" s="1">
        <v>46025.274583333303</v>
      </c>
      <c r="D1142" s="3" t="s">
        <v>18</v>
      </c>
      <c r="E1142" s="3" t="s">
        <v>24</v>
      </c>
      <c r="F1142" s="3"/>
      <c r="G1142" s="3">
        <v>13839</v>
      </c>
      <c r="H1142" s="3" t="str">
        <f>VLOOKUP(G1142,Produtos!A:B,2,FALSE)</f>
        <v>BUDWEISER LATA 269ML CX C/8 FRIDGE PACK</v>
      </c>
      <c r="I1142" s="3" t="s">
        <v>493</v>
      </c>
      <c r="J114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3" spans="1:10" x14ac:dyDescent="0.25">
      <c r="A1143" s="3">
        <v>1142</v>
      </c>
      <c r="B1143" s="1">
        <v>46025.275243055599</v>
      </c>
      <c r="C1143" s="1">
        <v>46025.275613425903</v>
      </c>
      <c r="D1143" s="3" t="s">
        <v>18</v>
      </c>
      <c r="E1143" s="3" t="s">
        <v>24</v>
      </c>
      <c r="F1143" s="3"/>
      <c r="G1143" s="3">
        <v>21119</v>
      </c>
      <c r="H1143" s="3" t="str">
        <f>VLOOKUP(G1143,Produtos!A:B,2,FALSE)</f>
        <v>SKOL BEATS GT LT 269ML CX CAR C/8</v>
      </c>
      <c r="I1143" s="3" t="s">
        <v>493</v>
      </c>
      <c r="J114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4" spans="1:10" x14ac:dyDescent="0.25">
      <c r="A1144" s="3">
        <v>1143</v>
      </c>
      <c r="B1144" s="1">
        <v>46025.277280092603</v>
      </c>
      <c r="C1144" s="1">
        <v>46025.277592592603</v>
      </c>
      <c r="D1144" s="3" t="s">
        <v>18</v>
      </c>
      <c r="E1144" s="3" t="s">
        <v>24</v>
      </c>
      <c r="F1144" s="3"/>
      <c r="G1144" s="3">
        <v>11191</v>
      </c>
      <c r="H1144" s="3" t="str">
        <f>VLOOKUP(G1144,Produtos!A:B,2,FALSE)</f>
        <v>LIPTON PESSEGO PET 1,5 SHRINK C/6 HF</v>
      </c>
      <c r="I1144" s="3" t="s">
        <v>493</v>
      </c>
      <c r="J114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5" spans="1:10" x14ac:dyDescent="0.25">
      <c r="A1145" s="3">
        <v>1144</v>
      </c>
      <c r="B1145" s="1">
        <v>46025.278159722198</v>
      </c>
      <c r="C1145" s="1">
        <v>46025.278483796297</v>
      </c>
      <c r="D1145" s="3" t="s">
        <v>18</v>
      </c>
      <c r="E1145" s="3" t="s">
        <v>24</v>
      </c>
      <c r="F1145" s="3"/>
      <c r="G1145" s="3">
        <v>21658</v>
      </c>
      <c r="H1145" s="3" t="str">
        <f>VLOOKUP(G1145,Produtos!A:B,2,FALSE)</f>
        <v>SPATEN N LT SLEEK 350ML CX CART C12</v>
      </c>
      <c r="I1145" s="3" t="s">
        <v>493</v>
      </c>
      <c r="J114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6" spans="1:10" x14ac:dyDescent="0.25">
      <c r="A1146" s="3">
        <v>1145</v>
      </c>
      <c r="B1146" s="1">
        <v>46027.356018518498</v>
      </c>
      <c r="C1146" s="1">
        <v>46027.356377314798</v>
      </c>
      <c r="D1146" s="3" t="s">
        <v>18</v>
      </c>
      <c r="E1146" s="3" t="s">
        <v>24</v>
      </c>
      <c r="F1146" s="3"/>
      <c r="G1146" s="3">
        <v>22180</v>
      </c>
      <c r="H1146" s="3" t="str">
        <f>VLOOKUP(G1146,Produtos!A:B,2,FALSE)</f>
        <v>BUDWEISER ZERO LN 330ML SIX-PACK SH C/4</v>
      </c>
      <c r="I1146" s="3" t="s">
        <v>493</v>
      </c>
      <c r="J114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7" spans="1:10" x14ac:dyDescent="0.25">
      <c r="A1147" s="3">
        <v>1146</v>
      </c>
      <c r="B1147" s="1">
        <v>46031.728344907402</v>
      </c>
      <c r="C1147" s="1">
        <v>46031.730208333298</v>
      </c>
      <c r="D1147" s="3" t="s">
        <v>23</v>
      </c>
      <c r="E1147" s="3" t="s">
        <v>34</v>
      </c>
      <c r="F1147" s="3"/>
      <c r="G1147" s="2">
        <v>14340</v>
      </c>
      <c r="H1147" s="3" t="str">
        <f>VLOOKUP(G1147,Produtos!A:B,2,FALSE)</f>
        <v>ORIGINAL ONE WAY 300ML CX PAPELAO C/12</v>
      </c>
      <c r="I1147" s="3" t="s">
        <v>500</v>
      </c>
      <c r="J114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8" spans="1:10" x14ac:dyDescent="0.25">
      <c r="A1148" s="3">
        <v>1147</v>
      </c>
      <c r="B1148" s="1">
        <v>46031.730254629598</v>
      </c>
      <c r="C1148" s="1">
        <v>46031.731400463003</v>
      </c>
      <c r="D1148" s="3" t="s">
        <v>23</v>
      </c>
      <c r="E1148" s="3" t="s">
        <v>24</v>
      </c>
      <c r="F1148" s="3"/>
      <c r="G1148" s="2">
        <v>21119</v>
      </c>
      <c r="H1148" s="3" t="str">
        <f>VLOOKUP(G1148,Produtos!A:B,2,FALSE)</f>
        <v>SKOL BEATS GT LT 269ML CX CAR C/8</v>
      </c>
      <c r="I1148" s="3" t="s">
        <v>491</v>
      </c>
      <c r="J114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49" spans="1:10" x14ac:dyDescent="0.25">
      <c r="A1149" s="3">
        <v>1148</v>
      </c>
      <c r="B1149" s="1">
        <v>46031.737743055601</v>
      </c>
      <c r="C1149" s="1">
        <v>46031.738738425898</v>
      </c>
      <c r="D1149" s="3" t="s">
        <v>23</v>
      </c>
      <c r="E1149" s="3" t="s">
        <v>24</v>
      </c>
      <c r="F1149" s="3"/>
      <c r="G1149" s="2">
        <v>20651</v>
      </c>
      <c r="H1149" s="3" t="str">
        <f>VLOOKUP(G1149,Produtos!A:B,2,FALSE)</f>
        <v>CORONA N LT SLEEK 350ML CX 8</v>
      </c>
      <c r="I1149" s="3" t="s">
        <v>492</v>
      </c>
      <c r="J114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0" spans="1:10" x14ac:dyDescent="0.25">
      <c r="A1150" s="3">
        <v>1149</v>
      </c>
      <c r="B1150" s="1">
        <v>46031.738761574103</v>
      </c>
      <c r="C1150" s="1">
        <v>46031.739560185197</v>
      </c>
      <c r="D1150" s="3" t="s">
        <v>23</v>
      </c>
      <c r="E1150" s="3" t="s">
        <v>24</v>
      </c>
      <c r="F1150" s="3"/>
      <c r="G1150" s="2">
        <v>20651</v>
      </c>
      <c r="H1150" s="3" t="str">
        <f>VLOOKUP(G1150,Produtos!A:B,2,FALSE)</f>
        <v>CORONA N LT SLEEK 350ML CX 8</v>
      </c>
      <c r="I1150" s="3" t="s">
        <v>500</v>
      </c>
      <c r="J115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1" spans="1:10" x14ac:dyDescent="0.25">
      <c r="A1151" s="3">
        <v>1150</v>
      </c>
      <c r="B1151" s="1">
        <v>46032.347916666702</v>
      </c>
      <c r="C1151" s="1">
        <v>46032.349004629599</v>
      </c>
      <c r="D1151" s="3" t="s">
        <v>8</v>
      </c>
      <c r="E1151" s="3" t="s">
        <v>24</v>
      </c>
      <c r="F1151" s="3"/>
      <c r="G1151" s="2">
        <v>18341</v>
      </c>
      <c r="H1151" s="3" t="str">
        <f>VLOOKUP(G1151,Produtos!A:B,2,FALSE)</f>
        <v>PEPSI COLA PET 3000 ML C/04 SH LISO.</v>
      </c>
      <c r="I1151" s="3" t="s">
        <v>507</v>
      </c>
      <c r="J115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2" spans="1:10" x14ac:dyDescent="0.25">
      <c r="A1152" s="3">
        <v>1151</v>
      </c>
      <c r="B1152" s="1">
        <v>46031.739641203698</v>
      </c>
      <c r="C1152" s="1">
        <v>46032.462696759299</v>
      </c>
      <c r="D1152" s="3" t="s">
        <v>23</v>
      </c>
      <c r="E1152" s="3" t="s">
        <v>24</v>
      </c>
      <c r="F1152" s="3"/>
      <c r="G1152" s="2">
        <v>17797</v>
      </c>
      <c r="H1152" s="3" t="str">
        <f>VLOOKUP(G1152,Produtos!A:B,2,FALSE)</f>
        <v>BRAHMA CHOPP LATA 350ML SH 18 MULTIPACK</v>
      </c>
      <c r="I1152" s="3" t="s">
        <v>491</v>
      </c>
      <c r="J115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3" spans="1:10" x14ac:dyDescent="0.25">
      <c r="A1153" s="3">
        <v>1152</v>
      </c>
      <c r="B1153" s="1">
        <v>46032.4628240741</v>
      </c>
      <c r="C1153" s="1">
        <v>46032.463900463001</v>
      </c>
      <c r="D1153" s="3" t="s">
        <v>23</v>
      </c>
      <c r="E1153" s="3" t="s">
        <v>24</v>
      </c>
      <c r="F1153" s="3"/>
      <c r="G1153" s="2">
        <v>21658</v>
      </c>
      <c r="H1153" s="3" t="str">
        <f>VLOOKUP(G1153,Produtos!A:B,2,FALSE)</f>
        <v>SPATEN N LT SLEEK 350ML CX CART C12</v>
      </c>
      <c r="I1153" s="3" t="s">
        <v>500</v>
      </c>
      <c r="J115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4" spans="1:10" x14ac:dyDescent="0.25">
      <c r="A1154" s="3">
        <v>1153</v>
      </c>
      <c r="B1154" s="1">
        <v>46032.463969907403</v>
      </c>
      <c r="C1154" s="1">
        <v>46032.464988425898</v>
      </c>
      <c r="D1154" s="3" t="s">
        <v>23</v>
      </c>
      <c r="E1154" s="3" t="s">
        <v>34</v>
      </c>
      <c r="F1154" s="3"/>
      <c r="G1154" s="2">
        <v>21668</v>
      </c>
      <c r="H1154" s="3" t="str">
        <f>VLOOKUP(G1154,Produtos!A:B,2,FALSE)</f>
        <v>SPATEN N ONE WAY 600ML CX C/12 NP ARTE</v>
      </c>
      <c r="I1154" s="3" t="s">
        <v>503</v>
      </c>
      <c r="J115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5" spans="1:10" x14ac:dyDescent="0.25">
      <c r="A1155" s="3">
        <v>1154</v>
      </c>
      <c r="B1155" s="1">
        <v>46032.463981481502</v>
      </c>
      <c r="C1155" s="1">
        <v>46032.464999999997</v>
      </c>
      <c r="D1155" s="3" t="s">
        <v>23</v>
      </c>
      <c r="E1155" s="3" t="s">
        <v>34</v>
      </c>
      <c r="F1155" s="3"/>
      <c r="G1155" s="2">
        <v>21668</v>
      </c>
      <c r="H1155" s="3" t="str">
        <f>VLOOKUP(G1155,Produtos!A:B,2,FALSE)</f>
        <v>SPATEN N ONE WAY 600ML CX C/12 NP ARTE</v>
      </c>
      <c r="I1155" s="3" t="s">
        <v>503</v>
      </c>
      <c r="J115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6" spans="1:10" x14ac:dyDescent="0.25">
      <c r="A1156" s="3">
        <v>1155</v>
      </c>
      <c r="B1156" s="1">
        <v>46034.769270833298</v>
      </c>
      <c r="C1156" s="1">
        <v>46034.7739814815</v>
      </c>
      <c r="D1156" s="3" t="s">
        <v>37</v>
      </c>
      <c r="E1156" s="3" t="s">
        <v>13</v>
      </c>
      <c r="F1156" s="3"/>
      <c r="G1156" s="3">
        <v>29042</v>
      </c>
      <c r="H1156" s="3" t="str">
        <f>VLOOKUP(G1156,Produtos!A:B,2,FALSE)</f>
        <v>YPE TIXAN LAVA ROUPAS PRIMAVEA CAIXA800G</v>
      </c>
      <c r="I1156" s="3"/>
      <c r="J115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7" spans="1:10" x14ac:dyDescent="0.25">
      <c r="A1157" s="3">
        <v>1156</v>
      </c>
      <c r="B1157" s="1">
        <v>46034.787372685198</v>
      </c>
      <c r="C1157" s="1">
        <v>46034.793287036999</v>
      </c>
      <c r="D1157" s="3" t="s">
        <v>32</v>
      </c>
      <c r="E1157" s="3" t="s">
        <v>16</v>
      </c>
      <c r="F1157" s="3"/>
      <c r="G1157" s="3">
        <v>9069</v>
      </c>
      <c r="H1157" s="3" t="str">
        <f>VLOOKUP(G1157,Produtos!A:B,2,FALSE)</f>
        <v>BRAHMA CHOPP LATA 350ML SH C/12 NPAL</v>
      </c>
      <c r="I1157" s="3"/>
      <c r="J115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8" spans="1:10" x14ac:dyDescent="0.25">
      <c r="A1158" s="3">
        <v>1157</v>
      </c>
      <c r="B1158" s="1">
        <v>46036.355648148099</v>
      </c>
      <c r="C1158" s="1">
        <v>46036.355937499997</v>
      </c>
      <c r="D1158" s="3" t="s">
        <v>18</v>
      </c>
      <c r="E1158" s="3" t="s">
        <v>24</v>
      </c>
      <c r="F1158" s="3"/>
      <c r="G1158" s="3">
        <v>9085</v>
      </c>
      <c r="H1158" s="3" t="str">
        <f>VLOOKUP(G1158,Produtos!A:B,2,FALSE)</f>
        <v>GUARANA CHP ANTARCT DIET LT350ML SHC/12</v>
      </c>
      <c r="I1158" s="3"/>
      <c r="J115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59" spans="1:10" x14ac:dyDescent="0.25">
      <c r="A1159" s="3">
        <v>1158</v>
      </c>
      <c r="B1159" s="1">
        <v>46036.356180555602</v>
      </c>
      <c r="C1159" s="1">
        <v>46036.356469907398</v>
      </c>
      <c r="D1159" s="3" t="s">
        <v>18</v>
      </c>
      <c r="E1159" s="3" t="s">
        <v>24</v>
      </c>
      <c r="F1159" s="3"/>
      <c r="G1159" s="3">
        <v>18341</v>
      </c>
      <c r="H1159" s="3" t="str">
        <f>VLOOKUP(G1159,Produtos!A:B,2,FALSE)</f>
        <v>PEPSI COLA PET 3000 ML C/04 SH LISO.</v>
      </c>
      <c r="I1159" s="3"/>
      <c r="J115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0" spans="1:10" x14ac:dyDescent="0.25">
      <c r="A1160" s="3">
        <v>1159</v>
      </c>
      <c r="B1160" s="1">
        <v>46036.357939814799</v>
      </c>
      <c r="C1160" s="1">
        <v>46036.3582523148</v>
      </c>
      <c r="D1160" s="3" t="s">
        <v>18</v>
      </c>
      <c r="E1160" s="3" t="s">
        <v>24</v>
      </c>
      <c r="F1160" s="3"/>
      <c r="G1160" s="3">
        <v>1745</v>
      </c>
      <c r="H1160" s="3" t="str">
        <f>VLOOKUP(G1160,Produtos!A:B,2,FALSE)</f>
        <v>SKOL LT 269ML SH C/15 NPAL</v>
      </c>
      <c r="I1160" s="3"/>
      <c r="J116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1" spans="1:10" x14ac:dyDescent="0.25">
      <c r="A1161" s="3">
        <v>1160</v>
      </c>
      <c r="B1161" s="1">
        <v>46036.358379629601</v>
      </c>
      <c r="C1161" s="1">
        <v>46036.358692129601</v>
      </c>
      <c r="D1161" s="3" t="s">
        <v>18</v>
      </c>
      <c r="E1161" s="3" t="s">
        <v>24</v>
      </c>
      <c r="F1161" s="3"/>
      <c r="G1161" s="3">
        <v>20498</v>
      </c>
      <c r="H1161" s="3" t="str">
        <f>VLOOKUP(G1161,Produtos!A:B,2,FALSE)</f>
        <v>BRAHMA DUPLO MALTE LT SLEEK 350ML SH C12</v>
      </c>
      <c r="I1161" s="3"/>
      <c r="J116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2" spans="1:10" x14ac:dyDescent="0.25">
      <c r="A1162" s="3">
        <v>1161</v>
      </c>
      <c r="B1162" s="1">
        <v>46036.359722222202</v>
      </c>
      <c r="C1162" s="1">
        <v>46036.360023148103</v>
      </c>
      <c r="D1162" s="3" t="s">
        <v>18</v>
      </c>
      <c r="E1162" s="3" t="s">
        <v>24</v>
      </c>
      <c r="F1162" s="3"/>
      <c r="G1162" s="3">
        <v>20498</v>
      </c>
      <c r="H1162" s="3" t="str">
        <f>VLOOKUP(G1162,Produtos!A:B,2,FALSE)</f>
        <v>BRAHMA DUPLO MALTE LT SLEEK 350ML SH C12</v>
      </c>
      <c r="I1162" s="3"/>
      <c r="J116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3" spans="1:10" x14ac:dyDescent="0.25">
      <c r="A1163" s="3">
        <v>1162</v>
      </c>
      <c r="B1163" s="1">
        <v>46036.360208333303</v>
      </c>
      <c r="C1163" s="1">
        <v>46036.3605439815</v>
      </c>
      <c r="D1163" s="3" t="s">
        <v>18</v>
      </c>
      <c r="E1163" s="3" t="s">
        <v>26</v>
      </c>
      <c r="F1163" s="3"/>
      <c r="G1163" s="3">
        <v>9093</v>
      </c>
      <c r="H1163" s="3" t="str">
        <f>VLOOKUP(G1163,Produtos!A:B,2,FALSE)</f>
        <v>PEPSI TWIST LATA 350ML SH C/12 NPAL</v>
      </c>
      <c r="I1163" s="3"/>
      <c r="J116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4" spans="1:10" x14ac:dyDescent="0.25">
      <c r="A1164" s="3">
        <v>1163</v>
      </c>
      <c r="B1164" s="1">
        <v>46036.362129629597</v>
      </c>
      <c r="C1164" s="1">
        <v>46036.362476851798</v>
      </c>
      <c r="D1164" s="3" t="s">
        <v>18</v>
      </c>
      <c r="E1164" s="3" t="s">
        <v>24</v>
      </c>
      <c r="F1164" s="3"/>
      <c r="G1164" s="3">
        <v>9085</v>
      </c>
      <c r="H1164" s="3" t="str">
        <f>VLOOKUP(G1164,Produtos!A:B,2,FALSE)</f>
        <v>GUARANA CHP ANTARCT DIET LT350ML SHC/12</v>
      </c>
      <c r="I1164" s="3"/>
      <c r="J116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5" spans="1:10" x14ac:dyDescent="0.25">
      <c r="A1165" s="3">
        <v>1164</v>
      </c>
      <c r="B1165" s="1">
        <v>46036.367789351803</v>
      </c>
      <c r="C1165" s="1">
        <v>46036.368125000001</v>
      </c>
      <c r="D1165" s="3" t="s">
        <v>18</v>
      </c>
      <c r="E1165" s="3" t="s">
        <v>34</v>
      </c>
      <c r="F1165" s="3"/>
      <c r="G1165" s="3">
        <v>9067</v>
      </c>
      <c r="H1165" s="3" t="str">
        <f>VLOOKUP(G1165,Produtos!A:B,2,FALSE)</f>
        <v>ANTARCTICA PILSEN LATA 350ML SH C/12 NPA</v>
      </c>
      <c r="I1165" s="3"/>
      <c r="J116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6" spans="1:10" x14ac:dyDescent="0.25">
      <c r="A1166" s="3">
        <v>1165</v>
      </c>
      <c r="B1166" s="1">
        <v>46036.368935185201</v>
      </c>
      <c r="C1166" s="1">
        <v>46036.369247685201</v>
      </c>
      <c r="D1166" s="3" t="s">
        <v>18</v>
      </c>
      <c r="E1166" s="3" t="s">
        <v>34</v>
      </c>
      <c r="F1166" s="3"/>
      <c r="G1166" s="3">
        <v>19225</v>
      </c>
      <c r="H1166" s="3" t="str">
        <f>VLOOKUP(G1166,Produtos!A:B,2,FALSE)</f>
        <v>RED BULL BR LATA 250ML CAIXA C/24</v>
      </c>
      <c r="I1166" s="3"/>
      <c r="J116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7" spans="1:10" x14ac:dyDescent="0.25">
      <c r="A1167" s="3">
        <v>1166</v>
      </c>
      <c r="B1167" s="1">
        <v>46039.2565972222</v>
      </c>
      <c r="C1167" s="1">
        <v>46039.257175925901</v>
      </c>
      <c r="D1167" s="3" t="s">
        <v>18</v>
      </c>
      <c r="E1167" s="3" t="s">
        <v>24</v>
      </c>
      <c r="F1167" s="3"/>
      <c r="G1167" s="3">
        <v>21119</v>
      </c>
      <c r="H1167" s="3" t="str">
        <f>VLOOKUP(G1167,Produtos!A:B,2,FALSE)</f>
        <v>SKOL BEATS GT LT 269ML CX CAR C/8</v>
      </c>
      <c r="I1167" s="3"/>
      <c r="J116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8" spans="1:10" x14ac:dyDescent="0.25">
      <c r="A1168" s="3">
        <v>1167</v>
      </c>
      <c r="B1168" s="1">
        <v>46039.257210648102</v>
      </c>
      <c r="C1168" s="1">
        <v>46039.257511574098</v>
      </c>
      <c r="D1168" s="3" t="s">
        <v>18</v>
      </c>
      <c r="E1168" s="3" t="s">
        <v>24</v>
      </c>
      <c r="F1168" s="3"/>
      <c r="G1168" s="3">
        <v>35617</v>
      </c>
      <c r="H1168" s="3" t="e">
        <f>VLOOKUP(G1168,Produtos!A:B,2,FALSE)</f>
        <v>#N/A</v>
      </c>
      <c r="I1168" s="3"/>
      <c r="J116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69" spans="1:10" x14ac:dyDescent="0.25">
      <c r="A1169" s="3">
        <v>1168</v>
      </c>
      <c r="B1169" s="1">
        <v>46039.258993055599</v>
      </c>
      <c r="C1169" s="1">
        <v>46039.259282407402</v>
      </c>
      <c r="D1169" s="3" t="s">
        <v>18</v>
      </c>
      <c r="E1169" s="3" t="s">
        <v>24</v>
      </c>
      <c r="F1169" s="3"/>
      <c r="G1169" s="3">
        <v>9067</v>
      </c>
      <c r="H1169" s="3" t="str">
        <f>VLOOKUP(G1169,Produtos!A:B,2,FALSE)</f>
        <v>ANTARCTICA PILSEN LATA 350ML SH C/12 NPA</v>
      </c>
      <c r="I1169" s="3"/>
      <c r="J116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0" spans="1:10" x14ac:dyDescent="0.25">
      <c r="A1170" s="3">
        <v>1169</v>
      </c>
      <c r="B1170" s="1">
        <v>46039.259918981501</v>
      </c>
      <c r="C1170" s="1">
        <v>46039.2601967593</v>
      </c>
      <c r="D1170" s="3" t="s">
        <v>18</v>
      </c>
      <c r="E1170" s="3" t="s">
        <v>24</v>
      </c>
      <c r="F1170" s="3"/>
      <c r="G1170" s="3">
        <v>9071</v>
      </c>
      <c r="H1170" s="3" t="str">
        <f>VLOOKUP(G1170,Produtos!A:B,2,FALSE)</f>
        <v>CARACU LATA 350ML SH C/12 NPAL</v>
      </c>
      <c r="I1170" s="3"/>
      <c r="J117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1" spans="1:10" x14ac:dyDescent="0.25">
      <c r="A1171" s="3">
        <v>1170</v>
      </c>
      <c r="B1171" s="1">
        <v>46039.261168981502</v>
      </c>
      <c r="C1171" s="1">
        <v>46039.261458333298</v>
      </c>
      <c r="D1171" s="3" t="s">
        <v>18</v>
      </c>
      <c r="E1171" s="3" t="s">
        <v>24</v>
      </c>
      <c r="F1171" s="3"/>
      <c r="G1171" s="3">
        <v>9071</v>
      </c>
      <c r="H1171" s="3" t="str">
        <f>VLOOKUP(G1171,Produtos!A:B,2,FALSE)</f>
        <v>CARACU LATA 350ML SH C/12 NPAL</v>
      </c>
      <c r="I1171" s="3"/>
      <c r="J117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2" spans="1:10" x14ac:dyDescent="0.25">
      <c r="A1172" s="3">
        <v>1171</v>
      </c>
      <c r="B1172" s="1">
        <v>46039.262708333299</v>
      </c>
      <c r="C1172" s="1">
        <v>46039.263009259303</v>
      </c>
      <c r="D1172" s="3" t="s">
        <v>18</v>
      </c>
      <c r="E1172" s="3" t="s">
        <v>26</v>
      </c>
      <c r="F1172" s="3"/>
      <c r="G1172" s="3">
        <v>9068</v>
      </c>
      <c r="H1172" s="3" t="str">
        <f>VLOOKUP(G1172,Produtos!A:B,2,FALSE)</f>
        <v>SKOL LATA 350ML SH C/12 NPAL</v>
      </c>
      <c r="I1172" s="3"/>
      <c r="J117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3" spans="1:10" x14ac:dyDescent="0.25">
      <c r="A1173" s="3">
        <v>1172</v>
      </c>
      <c r="B1173" s="1">
        <v>46039.2647222222</v>
      </c>
      <c r="C1173" s="1">
        <v>46039.265046296299</v>
      </c>
      <c r="D1173" s="3" t="s">
        <v>18</v>
      </c>
      <c r="E1173" s="3" t="s">
        <v>34</v>
      </c>
      <c r="F1173" s="3"/>
      <c r="G1173" s="3">
        <v>9067</v>
      </c>
      <c r="H1173" s="3" t="str">
        <f>VLOOKUP(G1173,Produtos!A:B,2,FALSE)</f>
        <v>ANTARCTICA PILSEN LATA 350ML SH C/12 NPA</v>
      </c>
      <c r="I1173" s="3"/>
      <c r="J117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4" spans="1:10" x14ac:dyDescent="0.25">
      <c r="A1174" s="3">
        <v>1173</v>
      </c>
      <c r="B1174" s="1">
        <v>46042.328055555598</v>
      </c>
      <c r="C1174" s="1">
        <v>46042.328368055598</v>
      </c>
      <c r="D1174" s="3" t="s">
        <v>18</v>
      </c>
      <c r="E1174" s="3" t="s">
        <v>24</v>
      </c>
      <c r="F1174" s="3"/>
      <c r="G1174" s="3">
        <v>9089</v>
      </c>
      <c r="H1174" s="3" t="str">
        <f>VLOOKUP(G1174,Produtos!A:B,2,FALSE)</f>
        <v>SUKITA LATA 350ML SH C/12 NPAL</v>
      </c>
      <c r="I1174" s="3"/>
      <c r="J117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5" spans="1:10" x14ac:dyDescent="0.25">
      <c r="A1175" s="3">
        <v>1174</v>
      </c>
      <c r="B1175" s="1">
        <v>46042.329224537003</v>
      </c>
      <c r="C1175" s="1">
        <v>46042.329537037003</v>
      </c>
      <c r="D1175" s="3" t="s">
        <v>18</v>
      </c>
      <c r="E1175" s="3" t="s">
        <v>24</v>
      </c>
      <c r="F1175" s="3"/>
      <c r="G1175" s="3">
        <v>9096</v>
      </c>
      <c r="H1175" s="3" t="str">
        <f>VLOOKUP(G1175,Produtos!A:B,2,FALSE)</f>
        <v>PEPSI COLA LATA 350ML SH C/12 NPAL</v>
      </c>
      <c r="I1175" s="3"/>
      <c r="J117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6" spans="1:10" x14ac:dyDescent="0.25">
      <c r="A1176" s="3">
        <v>1175</v>
      </c>
      <c r="B1176" s="1">
        <v>46042.330497685201</v>
      </c>
      <c r="C1176" s="1">
        <v>46042.3308217593</v>
      </c>
      <c r="D1176" s="3" t="s">
        <v>18</v>
      </c>
      <c r="E1176" s="3" t="s">
        <v>24</v>
      </c>
      <c r="F1176" s="3"/>
      <c r="G1176" s="3">
        <v>32319</v>
      </c>
      <c r="H1176" s="3" t="e">
        <f>VLOOKUP(G1176,Produtos!A:B,2,FALSE)</f>
        <v>#N/A</v>
      </c>
      <c r="I1176" s="3"/>
      <c r="J117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7" spans="1:10" x14ac:dyDescent="0.25">
      <c r="A1177" s="3">
        <v>1176</v>
      </c>
      <c r="B1177" s="1">
        <v>46042.331712963001</v>
      </c>
      <c r="C1177" s="1">
        <v>46042.332222222198</v>
      </c>
      <c r="D1177" s="3" t="s">
        <v>18</v>
      </c>
      <c r="E1177" s="3" t="s">
        <v>24</v>
      </c>
      <c r="F1177" s="3"/>
      <c r="G1177" s="3">
        <v>2008</v>
      </c>
      <c r="H1177" s="3" t="str">
        <f>VLOOKUP(G1177,Produtos!A:B,2,FALSE)</f>
        <v>ANTARCTICA SUBZERO LT 350ML SH C/12 NPAL</v>
      </c>
      <c r="I1177" s="3"/>
      <c r="J117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8" spans="1:10" x14ac:dyDescent="0.25">
      <c r="A1178" s="3">
        <v>1177</v>
      </c>
      <c r="B1178" s="1">
        <v>46042.333599537</v>
      </c>
      <c r="C1178" s="1">
        <v>46042.333912037</v>
      </c>
      <c r="D1178" s="3" t="s">
        <v>18</v>
      </c>
      <c r="E1178" s="3" t="s">
        <v>24</v>
      </c>
      <c r="F1178" s="3"/>
      <c r="G1178" s="3">
        <v>9085</v>
      </c>
      <c r="H1178" s="3" t="str">
        <f>VLOOKUP(G1178,Produtos!A:B,2,FALSE)</f>
        <v>GUARANA CHP ANTARCT DIET LT350ML SHC/12</v>
      </c>
      <c r="I1178" s="3"/>
      <c r="J117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79" spans="1:10" x14ac:dyDescent="0.25">
      <c r="A1179" s="3">
        <v>1178</v>
      </c>
      <c r="B1179" s="1">
        <v>46042.3350347222</v>
      </c>
      <c r="C1179" s="1">
        <v>46042.335324074098</v>
      </c>
      <c r="D1179" s="3" t="s">
        <v>18</v>
      </c>
      <c r="E1179" s="3" t="s">
        <v>24</v>
      </c>
      <c r="F1179" s="3"/>
      <c r="G1179" s="3">
        <v>9085</v>
      </c>
      <c r="H1179" s="3" t="str">
        <f>VLOOKUP(G1179,Produtos!A:B,2,FALSE)</f>
        <v>GUARANA CHP ANTARCT DIET LT350ML SHC/12</v>
      </c>
      <c r="I1179" s="3"/>
      <c r="J117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0" spans="1:10" x14ac:dyDescent="0.25">
      <c r="A1180" s="3">
        <v>1179</v>
      </c>
      <c r="B1180" s="1">
        <v>46042.3364351852</v>
      </c>
      <c r="C1180" s="1">
        <v>46042.337233796301</v>
      </c>
      <c r="D1180" s="3" t="s">
        <v>18</v>
      </c>
      <c r="E1180" s="3" t="s">
        <v>24</v>
      </c>
      <c r="F1180" s="3"/>
      <c r="G1180" s="3">
        <v>28512</v>
      </c>
      <c r="H1180" s="3" t="str">
        <f>VLOOKUP(G1180,Produtos!A:B,2,FALSE)</f>
        <v>PEPSI BLACK 1,5L SH C/6</v>
      </c>
      <c r="I1180" s="3"/>
      <c r="J118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1" spans="1:10" x14ac:dyDescent="0.25">
      <c r="A1181" s="3">
        <v>1180</v>
      </c>
      <c r="B1181" s="1">
        <v>46042.338287036997</v>
      </c>
      <c r="C1181" s="1">
        <v>46042.338622685202</v>
      </c>
      <c r="D1181" s="3" t="s">
        <v>18</v>
      </c>
      <c r="E1181" s="3" t="s">
        <v>24</v>
      </c>
      <c r="F1181" s="3"/>
      <c r="G1181" s="3">
        <v>13566</v>
      </c>
      <c r="H1181" s="3" t="str">
        <f>VLOOKUP(G1181,Produtos!A:B,2,FALSE)</f>
        <v>SKOL BEATS SENSES LATA 269ML CX C/8 FRID</v>
      </c>
      <c r="I1181" s="3"/>
      <c r="J1181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2" spans="1:10" x14ac:dyDescent="0.25">
      <c r="A1182" s="3">
        <v>1181</v>
      </c>
      <c r="B1182" s="1">
        <v>46043.337581018503</v>
      </c>
      <c r="C1182" s="1">
        <v>46043.338032407402</v>
      </c>
      <c r="D1182" s="3" t="s">
        <v>18</v>
      </c>
      <c r="E1182" s="3" t="s">
        <v>24</v>
      </c>
      <c r="F1182" s="3"/>
      <c r="G1182" s="3">
        <v>34608</v>
      </c>
      <c r="H1182" s="3" t="str">
        <f>VLOOKUP(G1182,Produtos!A:B,2,FALSE)</f>
        <v>SKOL LATA 350ML SH C/12 MULTIPAK</v>
      </c>
      <c r="I1182" s="3"/>
      <c r="J1182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3" spans="1:10" x14ac:dyDescent="0.25">
      <c r="A1183" s="3">
        <v>1182</v>
      </c>
      <c r="B1183" s="1">
        <v>46043.338356481501</v>
      </c>
      <c r="C1183" s="1">
        <v>46043.338657407403</v>
      </c>
      <c r="D1183" s="3" t="s">
        <v>18</v>
      </c>
      <c r="E1183" s="3" t="s">
        <v>24</v>
      </c>
      <c r="F1183" s="3"/>
      <c r="G1183" s="3">
        <v>33818</v>
      </c>
      <c r="H1183" s="3" t="str">
        <f>VLOOKUP(G1183,Produtos!A:B,2,FALSE)</f>
        <v>ORIGINAL LT 350ML SH C/12 NP MULTIPACK</v>
      </c>
      <c r="I1183" s="3"/>
      <c r="J1183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4" spans="1:10" x14ac:dyDescent="0.25">
      <c r="A1184" s="3">
        <v>1183</v>
      </c>
      <c r="B1184" s="1">
        <v>46043.549548611103</v>
      </c>
      <c r="C1184" s="1">
        <v>46043.550277777802</v>
      </c>
      <c r="D1184" s="3" t="s">
        <v>8</v>
      </c>
      <c r="E1184" s="3" t="s">
        <v>33</v>
      </c>
      <c r="F1184" s="3"/>
      <c r="G1184" s="3">
        <v>9069</v>
      </c>
      <c r="H1184" s="3" t="str">
        <f>VLOOKUP(G1184,Produtos!A:B,2,FALSE)</f>
        <v>BRAHMA CHOPP LATA 350ML SH C/12 NPAL</v>
      </c>
      <c r="I1184" s="3"/>
      <c r="J1184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5" spans="1:10" x14ac:dyDescent="0.25">
      <c r="A1185" s="3">
        <v>1184</v>
      </c>
      <c r="B1185" s="1">
        <v>46046.255162037</v>
      </c>
      <c r="C1185" s="1">
        <v>46046.255555555603</v>
      </c>
      <c r="D1185" s="3" t="s">
        <v>18</v>
      </c>
      <c r="E1185" s="3" t="s">
        <v>24</v>
      </c>
      <c r="F1185" s="3"/>
      <c r="G1185" s="3">
        <v>9069</v>
      </c>
      <c r="H1185" s="3" t="str">
        <f>VLOOKUP(G1185,Produtos!A:B,2,FALSE)</f>
        <v>BRAHMA CHOPP LATA 350ML SH C/12 NPAL</v>
      </c>
      <c r="I1185" s="3"/>
      <c r="J1185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6" spans="1:10" x14ac:dyDescent="0.25">
      <c r="A1186" s="3">
        <v>1185</v>
      </c>
      <c r="B1186" s="1">
        <v>46046.2558333333</v>
      </c>
      <c r="C1186" s="1">
        <v>46046.256122685198</v>
      </c>
      <c r="D1186" s="3" t="s">
        <v>18</v>
      </c>
      <c r="E1186" s="3" t="s">
        <v>24</v>
      </c>
      <c r="F1186" s="3"/>
      <c r="G1186" s="3">
        <v>9069</v>
      </c>
      <c r="H1186" s="3" t="str">
        <f>VLOOKUP(G1186,Produtos!A:B,2,FALSE)</f>
        <v>BRAHMA CHOPP LATA 350ML SH C/12 NPAL</v>
      </c>
      <c r="I1186" s="3"/>
      <c r="J1186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7" spans="1:10" x14ac:dyDescent="0.25">
      <c r="A1187" s="3">
        <v>1186</v>
      </c>
      <c r="B1187" s="1">
        <v>46046.256851851896</v>
      </c>
      <c r="C1187" s="1">
        <v>46046.257118055597</v>
      </c>
      <c r="D1187" s="3" t="s">
        <v>18</v>
      </c>
      <c r="E1187" s="3" t="s">
        <v>24</v>
      </c>
      <c r="F1187" s="3"/>
      <c r="G1187" s="3">
        <v>9069</v>
      </c>
      <c r="H1187" s="3" t="str">
        <f>VLOOKUP(G1187,Produtos!A:B,2,FALSE)</f>
        <v>BRAHMA CHOPP LATA 350ML SH C/12 NPAL</v>
      </c>
      <c r="I1187" s="3"/>
      <c r="J1187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8" spans="1:10" x14ac:dyDescent="0.25">
      <c r="A1188" s="3">
        <v>1187</v>
      </c>
      <c r="B1188" s="1">
        <v>46046.260891203703</v>
      </c>
      <c r="C1188" s="1">
        <v>46046.261192129597</v>
      </c>
      <c r="D1188" s="3" t="s">
        <v>18</v>
      </c>
      <c r="E1188" s="3" t="s">
        <v>24</v>
      </c>
      <c r="F1188" s="3"/>
      <c r="G1188" s="3">
        <v>9069</v>
      </c>
      <c r="H1188" s="3" t="str">
        <f>VLOOKUP(G1188,Produtos!A:B,2,FALSE)</f>
        <v>BRAHMA CHOPP LATA 350ML SH C/12 NPAL</v>
      </c>
      <c r="I1188" s="3"/>
      <c r="J1188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89" spans="1:10" x14ac:dyDescent="0.25">
      <c r="A1189" s="3">
        <v>1188</v>
      </c>
      <c r="B1189" s="1">
        <v>46049.402013888903</v>
      </c>
      <c r="C1189" s="1">
        <v>46049.402395833298</v>
      </c>
      <c r="D1189" t="s">
        <v>18</v>
      </c>
      <c r="E1189" s="3" t="s">
        <v>26</v>
      </c>
      <c r="F1189" s="3" t="s">
        <v>525</v>
      </c>
      <c r="G1189" s="3">
        <v>9069</v>
      </c>
      <c r="H1189" s="3" t="str">
        <f>VLOOKUP(G1189,Produtos!A:B,2,FALSE)</f>
        <v>BRAHMA CHOPP LATA 350ML SH C/12 NPAL</v>
      </c>
      <c r="I1189" s="3"/>
      <c r="J1189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  <row r="1190" spans="1:10" x14ac:dyDescent="0.25">
      <c r="A1190" s="3">
        <v>1189</v>
      </c>
      <c r="B1190" s="1">
        <v>46049.403379629599</v>
      </c>
      <c r="C1190" s="1">
        <v>46049.403680555602</v>
      </c>
      <c r="D1190" t="s">
        <v>18</v>
      </c>
      <c r="E1190" s="3" t="s">
        <v>26</v>
      </c>
      <c r="F1190" s="3" t="s">
        <v>54</v>
      </c>
      <c r="G1190" s="3">
        <v>14135</v>
      </c>
      <c r="H1190" s="3" t="str">
        <f>VLOOKUP(G1190,Produtos!A:B,2,FALSE)</f>
        <v>BUDWEISER LT 473ML SIX-PACK SH C/2 NPAL</v>
      </c>
      <c r="I1190" s="3"/>
      <c r="J1190" s="1" t="str">
        <f>YEAR(Table1[[#This Row],[Hora de início]])&amp;"/"&amp;IF(MONTH(Table1[[#This Row],[Hora de início]])&lt;10,"0"&amp;MONTH(Table1[[#This Row],[Hora de início]]),MONTH(Table1[[#This Row],[Hora de início]]))</f>
        <v>2026/01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FA71-EFCE-444C-AF89-6CF5C7FF5A50}">
  <dimension ref="A1:B424"/>
  <sheetViews>
    <sheetView workbookViewId="0">
      <selection activeCell="B2" sqref="B2"/>
    </sheetView>
  </sheetViews>
  <sheetFormatPr defaultRowHeight="15" x14ac:dyDescent="0.25"/>
  <cols>
    <col min="1" max="1" width="16" customWidth="1"/>
    <col min="2" max="2" width="67.28515625" bestFit="1" customWidth="1"/>
  </cols>
  <sheetData>
    <row r="1" spans="1:2" x14ac:dyDescent="0.25">
      <c r="A1" s="4" t="s">
        <v>66</v>
      </c>
      <c r="B1" s="4" t="s">
        <v>67</v>
      </c>
    </row>
    <row r="2" spans="1:2" x14ac:dyDescent="0.25">
      <c r="A2" s="5">
        <v>29232</v>
      </c>
      <c r="B2" s="5" t="s">
        <v>68</v>
      </c>
    </row>
    <row r="3" spans="1:2" x14ac:dyDescent="0.25">
      <c r="A3" s="5">
        <v>21529</v>
      </c>
      <c r="B3" s="5" t="s">
        <v>69</v>
      </c>
    </row>
    <row r="4" spans="1:2" x14ac:dyDescent="0.25">
      <c r="A4" s="5">
        <v>24613</v>
      </c>
      <c r="B4" s="5" t="s">
        <v>70</v>
      </c>
    </row>
    <row r="5" spans="1:2" x14ac:dyDescent="0.25">
      <c r="A5" s="5">
        <v>23463</v>
      </c>
      <c r="B5" s="5" t="s">
        <v>71</v>
      </c>
    </row>
    <row r="6" spans="1:2" x14ac:dyDescent="0.25">
      <c r="A6" s="5">
        <v>13017</v>
      </c>
      <c r="B6" s="5" t="s">
        <v>72</v>
      </c>
    </row>
    <row r="7" spans="1:2" x14ac:dyDescent="0.25">
      <c r="A7" s="5">
        <v>15416</v>
      </c>
      <c r="B7" s="5" t="s">
        <v>73</v>
      </c>
    </row>
    <row r="8" spans="1:2" x14ac:dyDescent="0.25">
      <c r="A8" s="5">
        <v>6909</v>
      </c>
      <c r="B8" s="5" t="s">
        <v>74</v>
      </c>
    </row>
    <row r="9" spans="1:2" x14ac:dyDescent="0.25">
      <c r="A9" s="5">
        <v>6905</v>
      </c>
      <c r="B9" s="5" t="s">
        <v>75</v>
      </c>
    </row>
    <row r="10" spans="1:2" x14ac:dyDescent="0.25">
      <c r="A10" s="5">
        <v>6911</v>
      </c>
      <c r="B10" s="5" t="s">
        <v>76</v>
      </c>
    </row>
    <row r="11" spans="1:2" x14ac:dyDescent="0.25">
      <c r="A11" s="5">
        <v>8975</v>
      </c>
      <c r="B11" s="5" t="s">
        <v>77</v>
      </c>
    </row>
    <row r="12" spans="1:2" x14ac:dyDescent="0.25">
      <c r="A12" s="5">
        <v>15414</v>
      </c>
      <c r="B12" s="5" t="s">
        <v>78</v>
      </c>
    </row>
    <row r="13" spans="1:2" x14ac:dyDescent="0.25">
      <c r="A13" s="5">
        <v>6907</v>
      </c>
      <c r="B13" s="5" t="s">
        <v>79</v>
      </c>
    </row>
    <row r="14" spans="1:2" x14ac:dyDescent="0.25">
      <c r="A14" s="5">
        <v>6903</v>
      </c>
      <c r="B14" s="5" t="s">
        <v>80</v>
      </c>
    </row>
    <row r="15" spans="1:2" x14ac:dyDescent="0.25">
      <c r="A15" s="5">
        <v>2538</v>
      </c>
      <c r="B15" s="5" t="s">
        <v>81</v>
      </c>
    </row>
    <row r="16" spans="1:2" x14ac:dyDescent="0.25">
      <c r="A16" s="5">
        <v>1743</v>
      </c>
      <c r="B16" s="5" t="s">
        <v>82</v>
      </c>
    </row>
    <row r="17" spans="1:2" x14ac:dyDescent="0.25">
      <c r="A17" s="5">
        <v>13203</v>
      </c>
      <c r="B17" s="5" t="s">
        <v>83</v>
      </c>
    </row>
    <row r="18" spans="1:2" x14ac:dyDescent="0.25">
      <c r="A18" s="5">
        <v>9067</v>
      </c>
      <c r="B18" s="5" t="s">
        <v>84</v>
      </c>
    </row>
    <row r="19" spans="1:2" x14ac:dyDescent="0.25">
      <c r="A19" s="5">
        <v>17725</v>
      </c>
      <c r="B19" s="5" t="s">
        <v>85</v>
      </c>
    </row>
    <row r="20" spans="1:2" x14ac:dyDescent="0.25">
      <c r="A20" s="5">
        <v>2006</v>
      </c>
      <c r="B20" s="5" t="s">
        <v>86</v>
      </c>
    </row>
    <row r="21" spans="1:2" x14ac:dyDescent="0.25">
      <c r="A21" s="5">
        <v>10530</v>
      </c>
      <c r="B21" s="5" t="s">
        <v>87</v>
      </c>
    </row>
    <row r="22" spans="1:2" x14ac:dyDescent="0.25">
      <c r="A22" s="5">
        <v>11503</v>
      </c>
      <c r="B22" s="5" t="s">
        <v>88</v>
      </c>
    </row>
    <row r="23" spans="1:2" x14ac:dyDescent="0.25">
      <c r="A23" s="5">
        <v>2008</v>
      </c>
      <c r="B23" s="5" t="s">
        <v>89</v>
      </c>
    </row>
    <row r="24" spans="1:2" x14ac:dyDescent="0.25">
      <c r="A24" s="5">
        <v>10175</v>
      </c>
      <c r="B24" s="5" t="s">
        <v>90</v>
      </c>
    </row>
    <row r="25" spans="1:2" x14ac:dyDescent="0.25">
      <c r="A25" s="5">
        <v>22675</v>
      </c>
      <c r="B25" s="5" t="s">
        <v>91</v>
      </c>
    </row>
    <row r="26" spans="1:2" x14ac:dyDescent="0.25">
      <c r="A26" s="5">
        <v>21956</v>
      </c>
      <c r="B26" s="5" t="s">
        <v>92</v>
      </c>
    </row>
    <row r="27" spans="1:2" x14ac:dyDescent="0.25">
      <c r="A27" s="5">
        <v>21788</v>
      </c>
      <c r="B27" s="5" t="s">
        <v>93</v>
      </c>
    </row>
    <row r="28" spans="1:2" x14ac:dyDescent="0.25">
      <c r="A28" s="5">
        <v>13194</v>
      </c>
      <c r="B28" s="5" t="s">
        <v>94</v>
      </c>
    </row>
    <row r="29" spans="1:2" x14ac:dyDescent="0.25">
      <c r="A29" s="5">
        <v>33738</v>
      </c>
      <c r="B29" s="5" t="s">
        <v>95</v>
      </c>
    </row>
    <row r="30" spans="1:2" x14ac:dyDescent="0.25">
      <c r="A30" s="5">
        <v>33734</v>
      </c>
      <c r="B30" s="5" t="s">
        <v>96</v>
      </c>
    </row>
    <row r="31" spans="1:2" x14ac:dyDescent="0.25">
      <c r="A31" s="5">
        <v>32361</v>
      </c>
      <c r="B31" s="5" t="s">
        <v>97</v>
      </c>
    </row>
    <row r="32" spans="1:2" x14ac:dyDescent="0.25">
      <c r="A32" s="5">
        <v>32349</v>
      </c>
      <c r="B32" s="5" t="s">
        <v>98</v>
      </c>
    </row>
    <row r="33" spans="1:2" x14ac:dyDescent="0.25">
      <c r="A33" s="5">
        <v>20531</v>
      </c>
      <c r="B33" s="5" t="s">
        <v>99</v>
      </c>
    </row>
    <row r="34" spans="1:2" x14ac:dyDescent="0.25">
      <c r="A34" s="5">
        <v>20072</v>
      </c>
      <c r="B34" s="5" t="s">
        <v>100</v>
      </c>
    </row>
    <row r="35" spans="1:2" x14ac:dyDescent="0.25">
      <c r="A35" s="5">
        <v>20537</v>
      </c>
      <c r="B35" s="5" t="s">
        <v>101</v>
      </c>
    </row>
    <row r="36" spans="1:2" x14ac:dyDescent="0.25">
      <c r="A36" s="5">
        <v>17757</v>
      </c>
      <c r="B36" s="5" t="s">
        <v>102</v>
      </c>
    </row>
    <row r="37" spans="1:2" x14ac:dyDescent="0.25">
      <c r="A37" s="5">
        <v>21886</v>
      </c>
      <c r="B37" s="5" t="s">
        <v>103</v>
      </c>
    </row>
    <row r="38" spans="1:2" x14ac:dyDescent="0.25">
      <c r="A38" s="5">
        <v>26401</v>
      </c>
      <c r="B38" s="5" t="s">
        <v>104</v>
      </c>
    </row>
    <row r="39" spans="1:2" x14ac:dyDescent="0.25">
      <c r="A39" s="5">
        <v>16503</v>
      </c>
      <c r="B39" s="5" t="s">
        <v>105</v>
      </c>
    </row>
    <row r="40" spans="1:2" x14ac:dyDescent="0.25">
      <c r="A40" s="5">
        <v>10537</v>
      </c>
      <c r="B40" s="5" t="s">
        <v>106</v>
      </c>
    </row>
    <row r="41" spans="1:2" x14ac:dyDescent="0.25">
      <c r="A41" s="5">
        <v>17266</v>
      </c>
      <c r="B41" s="5" t="s">
        <v>107</v>
      </c>
    </row>
    <row r="42" spans="1:2" x14ac:dyDescent="0.25">
      <c r="A42" s="5">
        <v>9072</v>
      </c>
      <c r="B42" s="5" t="s">
        <v>108</v>
      </c>
    </row>
    <row r="43" spans="1:2" x14ac:dyDescent="0.25">
      <c r="A43" s="5">
        <v>988</v>
      </c>
      <c r="B43" s="5" t="s">
        <v>109</v>
      </c>
    </row>
    <row r="44" spans="1:2" x14ac:dyDescent="0.25">
      <c r="A44" s="5">
        <v>1695</v>
      </c>
      <c r="B44" s="5" t="s">
        <v>110</v>
      </c>
    </row>
    <row r="45" spans="1:2" x14ac:dyDescent="0.25">
      <c r="A45" s="5">
        <v>13201</v>
      </c>
      <c r="B45" s="5" t="s">
        <v>111</v>
      </c>
    </row>
    <row r="46" spans="1:2" x14ac:dyDescent="0.25">
      <c r="A46" s="5">
        <v>17797</v>
      </c>
      <c r="B46" s="5" t="s">
        <v>112</v>
      </c>
    </row>
    <row r="47" spans="1:2" x14ac:dyDescent="0.25">
      <c r="A47" s="5">
        <v>9069</v>
      </c>
      <c r="B47" s="5" t="s">
        <v>113</v>
      </c>
    </row>
    <row r="48" spans="1:2" x14ac:dyDescent="0.25">
      <c r="A48" s="5">
        <v>279</v>
      </c>
      <c r="B48" s="5" t="s">
        <v>114</v>
      </c>
    </row>
    <row r="49" spans="1:2" x14ac:dyDescent="0.25">
      <c r="A49" s="5">
        <v>1898</v>
      </c>
      <c r="B49" s="5" t="s">
        <v>115</v>
      </c>
    </row>
    <row r="50" spans="1:2" x14ac:dyDescent="0.25">
      <c r="A50" s="5">
        <v>9320</v>
      </c>
      <c r="B50" s="5" t="s">
        <v>116</v>
      </c>
    </row>
    <row r="51" spans="1:2" x14ac:dyDescent="0.25">
      <c r="A51" s="5">
        <v>22618</v>
      </c>
      <c r="B51" s="5" t="s">
        <v>117</v>
      </c>
    </row>
    <row r="52" spans="1:2" x14ac:dyDescent="0.25">
      <c r="A52" s="5">
        <v>13578</v>
      </c>
      <c r="B52" s="5" t="s">
        <v>118</v>
      </c>
    </row>
    <row r="53" spans="1:2" x14ac:dyDescent="0.25">
      <c r="A53" s="5">
        <v>12948</v>
      </c>
      <c r="B53" s="5" t="s">
        <v>119</v>
      </c>
    </row>
    <row r="54" spans="1:2" x14ac:dyDescent="0.25">
      <c r="A54" s="5">
        <v>12951</v>
      </c>
      <c r="B54" s="5" t="s">
        <v>120</v>
      </c>
    </row>
    <row r="55" spans="1:2" x14ac:dyDescent="0.25">
      <c r="A55" s="5">
        <v>31075</v>
      </c>
      <c r="B55" s="5" t="s">
        <v>121</v>
      </c>
    </row>
    <row r="56" spans="1:2" x14ac:dyDescent="0.25">
      <c r="A56" s="5">
        <v>20329</v>
      </c>
      <c r="B56" s="5" t="s">
        <v>122</v>
      </c>
    </row>
    <row r="57" spans="1:2" x14ac:dyDescent="0.25">
      <c r="A57" s="5">
        <v>20533</v>
      </c>
      <c r="B57" s="5" t="s">
        <v>123</v>
      </c>
    </row>
    <row r="58" spans="1:2" x14ac:dyDescent="0.25">
      <c r="A58" s="5">
        <v>20549</v>
      </c>
      <c r="B58" s="5" t="s">
        <v>124</v>
      </c>
    </row>
    <row r="59" spans="1:2" x14ac:dyDescent="0.25">
      <c r="A59" s="5">
        <v>20647</v>
      </c>
      <c r="B59" s="5" t="s">
        <v>125</v>
      </c>
    </row>
    <row r="60" spans="1:2" x14ac:dyDescent="0.25">
      <c r="A60" s="5">
        <v>20498</v>
      </c>
      <c r="B60" s="5" t="s">
        <v>126</v>
      </c>
    </row>
    <row r="61" spans="1:2" x14ac:dyDescent="0.25">
      <c r="A61" s="5">
        <v>31051</v>
      </c>
      <c r="B61" s="5" t="s">
        <v>127</v>
      </c>
    </row>
    <row r="62" spans="1:2" x14ac:dyDescent="0.25">
      <c r="A62" s="5">
        <v>30103</v>
      </c>
      <c r="B62" s="5" t="s">
        <v>128</v>
      </c>
    </row>
    <row r="63" spans="1:2" x14ac:dyDescent="0.25">
      <c r="A63" s="5">
        <v>31795</v>
      </c>
      <c r="B63" s="5" t="s">
        <v>129</v>
      </c>
    </row>
    <row r="64" spans="1:2" x14ac:dyDescent="0.25">
      <c r="A64" s="5">
        <v>30854</v>
      </c>
      <c r="B64" s="5" t="s">
        <v>130</v>
      </c>
    </row>
    <row r="65" spans="1:2" x14ac:dyDescent="0.25">
      <c r="A65" s="5">
        <v>30856</v>
      </c>
      <c r="B65" s="5" t="s">
        <v>131</v>
      </c>
    </row>
    <row r="66" spans="1:2" x14ac:dyDescent="0.25">
      <c r="A66" s="5">
        <v>30852</v>
      </c>
      <c r="B66" s="5" t="s">
        <v>132</v>
      </c>
    </row>
    <row r="67" spans="1:2" x14ac:dyDescent="0.25">
      <c r="A67" s="5">
        <v>32648</v>
      </c>
      <c r="B67" s="5" t="s">
        <v>133</v>
      </c>
    </row>
    <row r="68" spans="1:2" x14ac:dyDescent="0.25">
      <c r="A68" s="5">
        <v>32646</v>
      </c>
      <c r="B68" s="5" t="s">
        <v>134</v>
      </c>
    </row>
    <row r="69" spans="1:2" x14ac:dyDescent="0.25">
      <c r="A69" s="5">
        <v>32644</v>
      </c>
      <c r="B69" s="5" t="s">
        <v>135</v>
      </c>
    </row>
    <row r="70" spans="1:2" x14ac:dyDescent="0.25">
      <c r="A70" s="5">
        <v>2548</v>
      </c>
      <c r="B70" s="5" t="s">
        <v>136</v>
      </c>
    </row>
    <row r="71" spans="1:2" x14ac:dyDescent="0.25">
      <c r="A71" s="5">
        <v>29703</v>
      </c>
      <c r="B71" s="5" t="s">
        <v>137</v>
      </c>
    </row>
    <row r="72" spans="1:2" x14ac:dyDescent="0.25">
      <c r="A72" s="5">
        <v>13307</v>
      </c>
      <c r="B72" s="5" t="s">
        <v>138</v>
      </c>
    </row>
    <row r="73" spans="1:2" x14ac:dyDescent="0.25">
      <c r="A73" s="5">
        <v>13839</v>
      </c>
      <c r="B73" s="5" t="s">
        <v>139</v>
      </c>
    </row>
    <row r="74" spans="1:2" x14ac:dyDescent="0.25">
      <c r="A74" s="5">
        <v>14135</v>
      </c>
      <c r="B74" s="5" t="s">
        <v>140</v>
      </c>
    </row>
    <row r="75" spans="1:2" x14ac:dyDescent="0.25">
      <c r="A75" s="5">
        <v>21020</v>
      </c>
      <c r="B75" s="5" t="s">
        <v>141</v>
      </c>
    </row>
    <row r="76" spans="1:2" x14ac:dyDescent="0.25">
      <c r="A76" s="5">
        <v>17808</v>
      </c>
      <c r="B76" s="5" t="s">
        <v>142</v>
      </c>
    </row>
    <row r="77" spans="1:2" x14ac:dyDescent="0.25">
      <c r="A77" s="5">
        <v>22180</v>
      </c>
      <c r="B77" s="5" t="s">
        <v>143</v>
      </c>
    </row>
    <row r="78" spans="1:2" x14ac:dyDescent="0.25">
      <c r="A78" s="5">
        <v>22177</v>
      </c>
      <c r="B78" s="5" t="s">
        <v>144</v>
      </c>
    </row>
    <row r="79" spans="1:2" x14ac:dyDescent="0.25">
      <c r="A79" s="5">
        <v>25220</v>
      </c>
      <c r="B79" s="5" t="s">
        <v>145</v>
      </c>
    </row>
    <row r="80" spans="1:2" x14ac:dyDescent="0.25">
      <c r="A80" s="5">
        <v>9071</v>
      </c>
      <c r="B80" s="5" t="s">
        <v>146</v>
      </c>
    </row>
    <row r="81" spans="1:2" x14ac:dyDescent="0.25">
      <c r="A81" s="5">
        <v>23671</v>
      </c>
      <c r="B81" s="5" t="s">
        <v>147</v>
      </c>
    </row>
    <row r="82" spans="1:2" x14ac:dyDescent="0.25">
      <c r="A82" s="5">
        <v>23672</v>
      </c>
      <c r="B82" s="5" t="s">
        <v>148</v>
      </c>
    </row>
    <row r="83" spans="1:2" x14ac:dyDescent="0.25">
      <c r="A83" s="5">
        <v>23673</v>
      </c>
      <c r="B83" s="5" t="s">
        <v>149</v>
      </c>
    </row>
    <row r="84" spans="1:2" x14ac:dyDescent="0.25">
      <c r="A84" s="5">
        <v>23674</v>
      </c>
      <c r="B84" s="5" t="s">
        <v>150</v>
      </c>
    </row>
    <row r="85" spans="1:2" x14ac:dyDescent="0.25">
      <c r="A85" s="5">
        <v>22009</v>
      </c>
      <c r="B85" s="5" t="s">
        <v>151</v>
      </c>
    </row>
    <row r="86" spans="1:2" x14ac:dyDescent="0.25">
      <c r="A86" s="5">
        <v>24578</v>
      </c>
      <c r="B86" s="5" t="s">
        <v>152</v>
      </c>
    </row>
    <row r="87" spans="1:2" x14ac:dyDescent="0.25">
      <c r="A87" s="5">
        <v>21955</v>
      </c>
      <c r="B87" s="5" t="s">
        <v>153</v>
      </c>
    </row>
    <row r="88" spans="1:2" x14ac:dyDescent="0.25">
      <c r="A88" s="5">
        <v>8776</v>
      </c>
      <c r="B88" s="5" t="s">
        <v>154</v>
      </c>
    </row>
    <row r="89" spans="1:2" x14ac:dyDescent="0.25">
      <c r="A89" s="5">
        <v>828</v>
      </c>
      <c r="B89" s="5" t="s">
        <v>155</v>
      </c>
    </row>
    <row r="90" spans="1:2" x14ac:dyDescent="0.25">
      <c r="A90" s="5">
        <v>838</v>
      </c>
      <c r="B90" s="5" t="s">
        <v>156</v>
      </c>
    </row>
    <row r="91" spans="1:2" x14ac:dyDescent="0.25">
      <c r="A91" s="5">
        <v>827</v>
      </c>
      <c r="B91" s="5" t="s">
        <v>157</v>
      </c>
    </row>
    <row r="92" spans="1:2" x14ac:dyDescent="0.25">
      <c r="A92" s="5">
        <v>8037</v>
      </c>
      <c r="B92" s="5" t="s">
        <v>158</v>
      </c>
    </row>
    <row r="93" spans="1:2" x14ac:dyDescent="0.25">
      <c r="A93" s="5">
        <v>19520</v>
      </c>
      <c r="B93" s="5" t="s">
        <v>159</v>
      </c>
    </row>
    <row r="94" spans="1:2" x14ac:dyDescent="0.25">
      <c r="A94" s="5">
        <v>17326</v>
      </c>
      <c r="B94" s="5" t="s">
        <v>160</v>
      </c>
    </row>
    <row r="95" spans="1:2" x14ac:dyDescent="0.25">
      <c r="A95" s="5">
        <v>17324</v>
      </c>
      <c r="B95" s="5" t="s">
        <v>161</v>
      </c>
    </row>
    <row r="96" spans="1:2" x14ac:dyDescent="0.25">
      <c r="A96" s="5">
        <v>17328</v>
      </c>
      <c r="B96" s="5" t="s">
        <v>162</v>
      </c>
    </row>
    <row r="97" spans="1:2" x14ac:dyDescent="0.25">
      <c r="A97" s="5">
        <v>24208</v>
      </c>
      <c r="B97" s="5" t="s">
        <v>163</v>
      </c>
    </row>
    <row r="98" spans="1:2" x14ac:dyDescent="0.25">
      <c r="A98" s="5">
        <v>22027</v>
      </c>
      <c r="B98" s="5" t="s">
        <v>164</v>
      </c>
    </row>
    <row r="99" spans="1:2" x14ac:dyDescent="0.25">
      <c r="A99" s="5">
        <v>14550</v>
      </c>
      <c r="B99" s="5" t="s">
        <v>165</v>
      </c>
    </row>
    <row r="100" spans="1:2" x14ac:dyDescent="0.25">
      <c r="A100" s="5">
        <v>14554</v>
      </c>
      <c r="B100" s="5" t="s">
        <v>166</v>
      </c>
    </row>
    <row r="101" spans="1:2" x14ac:dyDescent="0.25">
      <c r="A101" s="5">
        <v>21678</v>
      </c>
      <c r="B101" s="5" t="s">
        <v>167</v>
      </c>
    </row>
    <row r="102" spans="1:2" x14ac:dyDescent="0.25">
      <c r="A102" s="5">
        <v>14552</v>
      </c>
      <c r="B102" s="5" t="s">
        <v>168</v>
      </c>
    </row>
    <row r="103" spans="1:2" x14ac:dyDescent="0.25">
      <c r="A103" s="5">
        <v>21501</v>
      </c>
      <c r="B103" s="5" t="s">
        <v>169</v>
      </c>
    </row>
    <row r="104" spans="1:2" x14ac:dyDescent="0.25">
      <c r="A104" s="5">
        <v>20853</v>
      </c>
      <c r="B104" s="5" t="s">
        <v>170</v>
      </c>
    </row>
    <row r="105" spans="1:2" x14ac:dyDescent="0.25">
      <c r="A105" s="5">
        <v>19166</v>
      </c>
      <c r="B105" s="5" t="s">
        <v>171</v>
      </c>
    </row>
    <row r="106" spans="1:2" x14ac:dyDescent="0.25">
      <c r="A106" s="5">
        <v>19822</v>
      </c>
      <c r="B106" s="5" t="s">
        <v>172</v>
      </c>
    </row>
    <row r="107" spans="1:2" x14ac:dyDescent="0.25">
      <c r="A107" s="5">
        <v>14556</v>
      </c>
      <c r="B107" s="5" t="s">
        <v>173</v>
      </c>
    </row>
    <row r="108" spans="1:2" x14ac:dyDescent="0.25">
      <c r="A108" s="5">
        <v>27866</v>
      </c>
      <c r="B108" s="5" t="s">
        <v>174</v>
      </c>
    </row>
    <row r="109" spans="1:2" x14ac:dyDescent="0.25">
      <c r="A109" s="5">
        <v>34263</v>
      </c>
      <c r="B109" s="5" t="s">
        <v>175</v>
      </c>
    </row>
    <row r="110" spans="1:2" x14ac:dyDescent="0.25">
      <c r="A110" s="5">
        <v>32749</v>
      </c>
      <c r="B110" s="5" t="s">
        <v>176</v>
      </c>
    </row>
    <row r="111" spans="1:2" x14ac:dyDescent="0.25">
      <c r="A111" s="5">
        <v>26762</v>
      </c>
      <c r="B111" s="5" t="s">
        <v>177</v>
      </c>
    </row>
    <row r="112" spans="1:2" x14ac:dyDescent="0.25">
      <c r="A112" s="5">
        <v>26446</v>
      </c>
      <c r="B112" s="5" t="s">
        <v>178</v>
      </c>
    </row>
    <row r="113" spans="1:2" x14ac:dyDescent="0.25">
      <c r="A113" s="5">
        <v>31856</v>
      </c>
      <c r="B113" s="5" t="s">
        <v>179</v>
      </c>
    </row>
    <row r="114" spans="1:2" x14ac:dyDescent="0.25">
      <c r="A114" s="5">
        <v>32785</v>
      </c>
      <c r="B114" s="5" t="s">
        <v>180</v>
      </c>
    </row>
    <row r="115" spans="1:2" x14ac:dyDescent="0.25">
      <c r="A115" s="5">
        <v>18836</v>
      </c>
      <c r="B115" s="5" t="s">
        <v>181</v>
      </c>
    </row>
    <row r="116" spans="1:2" x14ac:dyDescent="0.25">
      <c r="A116" s="5">
        <v>20651</v>
      </c>
      <c r="B116" s="5" t="s">
        <v>182</v>
      </c>
    </row>
    <row r="117" spans="1:2" x14ac:dyDescent="0.25">
      <c r="A117" s="5">
        <v>18780</v>
      </c>
      <c r="B117" s="5" t="s">
        <v>183</v>
      </c>
    </row>
    <row r="118" spans="1:2" x14ac:dyDescent="0.25">
      <c r="A118" s="5">
        <v>22835</v>
      </c>
      <c r="B118" s="5" t="s">
        <v>184</v>
      </c>
    </row>
    <row r="119" spans="1:2" x14ac:dyDescent="0.25">
      <c r="A119" s="5">
        <v>33214</v>
      </c>
      <c r="B119" s="5" t="s">
        <v>185</v>
      </c>
    </row>
    <row r="120" spans="1:2" x14ac:dyDescent="0.25">
      <c r="A120" s="5">
        <v>23562</v>
      </c>
      <c r="B120" s="5" t="s">
        <v>186</v>
      </c>
    </row>
    <row r="121" spans="1:2" x14ac:dyDescent="0.25">
      <c r="A121" s="5">
        <v>23560</v>
      </c>
      <c r="B121" s="5" t="s">
        <v>187</v>
      </c>
    </row>
    <row r="122" spans="1:2" x14ac:dyDescent="0.25">
      <c r="A122" s="5">
        <v>33213</v>
      </c>
      <c r="B122" s="5" t="s">
        <v>188</v>
      </c>
    </row>
    <row r="123" spans="1:2" x14ac:dyDescent="0.25">
      <c r="A123" s="5">
        <v>33215</v>
      </c>
      <c r="B123" s="5" t="s">
        <v>189</v>
      </c>
    </row>
    <row r="124" spans="1:2" x14ac:dyDescent="0.25">
      <c r="A124" s="5">
        <v>33218</v>
      </c>
      <c r="B124" s="5" t="s">
        <v>190</v>
      </c>
    </row>
    <row r="125" spans="1:2" x14ac:dyDescent="0.25">
      <c r="A125" s="5">
        <v>33216</v>
      </c>
      <c r="B125" s="5" t="s">
        <v>191</v>
      </c>
    </row>
    <row r="126" spans="1:2" x14ac:dyDescent="0.25">
      <c r="A126" s="5">
        <v>23564</v>
      </c>
      <c r="B126" s="5" t="s">
        <v>192</v>
      </c>
    </row>
    <row r="127" spans="1:2" x14ac:dyDescent="0.25">
      <c r="A127" s="5">
        <v>33217</v>
      </c>
      <c r="B127" s="5" t="s">
        <v>193</v>
      </c>
    </row>
    <row r="128" spans="1:2" x14ac:dyDescent="0.25">
      <c r="A128" s="5">
        <v>22562</v>
      </c>
      <c r="B128" s="5" t="s">
        <v>194</v>
      </c>
    </row>
    <row r="129" spans="1:2" x14ac:dyDescent="0.25">
      <c r="A129" s="5">
        <v>2544</v>
      </c>
      <c r="B129" s="5" t="s">
        <v>195</v>
      </c>
    </row>
    <row r="130" spans="1:2" x14ac:dyDescent="0.25">
      <c r="A130" s="5">
        <v>34654</v>
      </c>
      <c r="B130" s="5" t="s">
        <v>196</v>
      </c>
    </row>
    <row r="131" spans="1:2" x14ac:dyDescent="0.25">
      <c r="A131" s="5">
        <v>34459</v>
      </c>
      <c r="B131" s="5" t="s">
        <v>197</v>
      </c>
    </row>
    <row r="132" spans="1:2" x14ac:dyDescent="0.25">
      <c r="A132" s="5">
        <v>34405</v>
      </c>
      <c r="B132" s="5" t="s">
        <v>198</v>
      </c>
    </row>
    <row r="133" spans="1:2" x14ac:dyDescent="0.25">
      <c r="A133" s="5">
        <v>34415</v>
      </c>
      <c r="B133" s="5" t="s">
        <v>199</v>
      </c>
    </row>
    <row r="134" spans="1:2" x14ac:dyDescent="0.25">
      <c r="A134" s="5">
        <v>34416</v>
      </c>
      <c r="B134" s="5" t="s">
        <v>200</v>
      </c>
    </row>
    <row r="135" spans="1:2" x14ac:dyDescent="0.25">
      <c r="A135" s="5">
        <v>34460</v>
      </c>
      <c r="B135" s="5" t="s">
        <v>201</v>
      </c>
    </row>
    <row r="136" spans="1:2" x14ac:dyDescent="0.25">
      <c r="A136" s="5">
        <v>34417</v>
      </c>
      <c r="B136" s="5" t="s">
        <v>202</v>
      </c>
    </row>
    <row r="137" spans="1:2" x14ac:dyDescent="0.25">
      <c r="A137" s="5">
        <v>25700</v>
      </c>
      <c r="B137" s="5" t="s">
        <v>203</v>
      </c>
    </row>
    <row r="138" spans="1:2" x14ac:dyDescent="0.25">
      <c r="A138" s="5">
        <v>31272</v>
      </c>
      <c r="B138" s="5" t="s">
        <v>204</v>
      </c>
    </row>
    <row r="139" spans="1:2" x14ac:dyDescent="0.25">
      <c r="A139" s="5">
        <v>32425</v>
      </c>
      <c r="B139" s="5" t="s">
        <v>205</v>
      </c>
    </row>
    <row r="140" spans="1:2" x14ac:dyDescent="0.25">
      <c r="A140" s="5">
        <v>31962</v>
      </c>
      <c r="B140" s="5" t="s">
        <v>206</v>
      </c>
    </row>
    <row r="141" spans="1:2" x14ac:dyDescent="0.25">
      <c r="A141" s="5">
        <v>13486</v>
      </c>
      <c r="B141" s="5" t="s">
        <v>207</v>
      </c>
    </row>
    <row r="142" spans="1:2" x14ac:dyDescent="0.25">
      <c r="A142" s="5">
        <v>25303</v>
      </c>
      <c r="B142" s="5" t="s">
        <v>208</v>
      </c>
    </row>
    <row r="143" spans="1:2" x14ac:dyDescent="0.25">
      <c r="A143" s="5">
        <v>32067</v>
      </c>
      <c r="B143" s="5" t="s">
        <v>209</v>
      </c>
    </row>
    <row r="144" spans="1:2" x14ac:dyDescent="0.25">
      <c r="A144" s="5">
        <v>7979</v>
      </c>
      <c r="B144" s="5" t="s">
        <v>210</v>
      </c>
    </row>
    <row r="145" spans="1:2" x14ac:dyDescent="0.25">
      <c r="A145" s="5">
        <v>7981</v>
      </c>
      <c r="B145" s="5" t="s">
        <v>211</v>
      </c>
    </row>
    <row r="146" spans="1:2" x14ac:dyDescent="0.25">
      <c r="A146" s="5">
        <v>7982</v>
      </c>
      <c r="B146" s="5" t="s">
        <v>212</v>
      </c>
    </row>
    <row r="147" spans="1:2" x14ac:dyDescent="0.25">
      <c r="A147" s="5">
        <v>7985</v>
      </c>
      <c r="B147" s="5" t="s">
        <v>213</v>
      </c>
    </row>
    <row r="148" spans="1:2" x14ac:dyDescent="0.25">
      <c r="A148" s="5">
        <v>23731</v>
      </c>
      <c r="B148" s="5" t="s">
        <v>214</v>
      </c>
    </row>
    <row r="149" spans="1:2" x14ac:dyDescent="0.25">
      <c r="A149" s="5">
        <v>7983</v>
      </c>
      <c r="B149" s="5" t="s">
        <v>215</v>
      </c>
    </row>
    <row r="150" spans="1:2" x14ac:dyDescent="0.25">
      <c r="A150" s="5">
        <v>7980</v>
      </c>
      <c r="B150" s="5" t="s">
        <v>216</v>
      </c>
    </row>
    <row r="151" spans="1:2" x14ac:dyDescent="0.25">
      <c r="A151" s="5">
        <v>7977</v>
      </c>
      <c r="B151" s="5" t="s">
        <v>217</v>
      </c>
    </row>
    <row r="152" spans="1:2" x14ac:dyDescent="0.25">
      <c r="A152" s="5">
        <v>29495</v>
      </c>
      <c r="B152" s="5" t="s">
        <v>218</v>
      </c>
    </row>
    <row r="153" spans="1:2" x14ac:dyDescent="0.25">
      <c r="A153" s="5">
        <v>29493</v>
      </c>
      <c r="B153" s="5" t="s">
        <v>219</v>
      </c>
    </row>
    <row r="154" spans="1:2" x14ac:dyDescent="0.25">
      <c r="A154" s="5">
        <v>25546</v>
      </c>
      <c r="B154" s="5" t="s">
        <v>220</v>
      </c>
    </row>
    <row r="155" spans="1:2" x14ac:dyDescent="0.25">
      <c r="A155" s="5">
        <v>18142</v>
      </c>
      <c r="B155" s="5" t="s">
        <v>221</v>
      </c>
    </row>
    <row r="156" spans="1:2" x14ac:dyDescent="0.25">
      <c r="A156" s="5">
        <v>27001</v>
      </c>
      <c r="B156" s="5" t="s">
        <v>222</v>
      </c>
    </row>
    <row r="157" spans="1:2" x14ac:dyDescent="0.25">
      <c r="A157" s="5">
        <v>23556</v>
      </c>
      <c r="B157" s="5" t="s">
        <v>223</v>
      </c>
    </row>
    <row r="158" spans="1:2" x14ac:dyDescent="0.25">
      <c r="A158" s="5">
        <v>23554</v>
      </c>
      <c r="B158" s="5" t="s">
        <v>224</v>
      </c>
    </row>
    <row r="159" spans="1:2" x14ac:dyDescent="0.25">
      <c r="A159" s="5">
        <v>33220</v>
      </c>
      <c r="B159" s="5" t="s">
        <v>225</v>
      </c>
    </row>
    <row r="160" spans="1:2" x14ac:dyDescent="0.25">
      <c r="A160" s="5">
        <v>26699</v>
      </c>
      <c r="B160" s="5" t="s">
        <v>226</v>
      </c>
    </row>
    <row r="161" spans="1:2" x14ac:dyDescent="0.25">
      <c r="A161" s="5">
        <v>34320</v>
      </c>
      <c r="B161" s="5" t="s">
        <v>227</v>
      </c>
    </row>
    <row r="162" spans="1:2" x14ac:dyDescent="0.25">
      <c r="A162" s="5">
        <v>19321</v>
      </c>
      <c r="B162" s="5" t="s">
        <v>228</v>
      </c>
    </row>
    <row r="163" spans="1:2" x14ac:dyDescent="0.25">
      <c r="A163" s="5">
        <v>2250</v>
      </c>
      <c r="B163" s="5" t="s">
        <v>229</v>
      </c>
    </row>
    <row r="164" spans="1:2" x14ac:dyDescent="0.25">
      <c r="A164" s="5">
        <v>34027</v>
      </c>
      <c r="B164" s="5" t="s">
        <v>230</v>
      </c>
    </row>
    <row r="165" spans="1:2" x14ac:dyDescent="0.25">
      <c r="A165" s="5">
        <v>18390</v>
      </c>
      <c r="B165" s="5" t="s">
        <v>231</v>
      </c>
    </row>
    <row r="166" spans="1:2" x14ac:dyDescent="0.25">
      <c r="A166" s="5">
        <v>2243</v>
      </c>
      <c r="B166" s="5" t="s">
        <v>232</v>
      </c>
    </row>
    <row r="167" spans="1:2" x14ac:dyDescent="0.25">
      <c r="A167" s="5">
        <v>9085</v>
      </c>
      <c r="B167" s="5" t="s">
        <v>233</v>
      </c>
    </row>
    <row r="168" spans="1:2" x14ac:dyDescent="0.25">
      <c r="A168" s="5">
        <v>8413</v>
      </c>
      <c r="B168" s="5" t="s">
        <v>234</v>
      </c>
    </row>
    <row r="169" spans="1:2" x14ac:dyDescent="0.25">
      <c r="A169" s="5">
        <v>9084</v>
      </c>
      <c r="B169" s="5" t="s">
        <v>235</v>
      </c>
    </row>
    <row r="170" spans="1:2" x14ac:dyDescent="0.25">
      <c r="A170" s="5">
        <v>21880</v>
      </c>
      <c r="B170" s="5" t="s">
        <v>236</v>
      </c>
    </row>
    <row r="171" spans="1:2" x14ac:dyDescent="0.25">
      <c r="A171" s="5">
        <v>2231</v>
      </c>
      <c r="B171" s="5" t="s">
        <v>237</v>
      </c>
    </row>
    <row r="172" spans="1:2" x14ac:dyDescent="0.25">
      <c r="A172" s="5">
        <v>2353</v>
      </c>
      <c r="B172" s="5" t="s">
        <v>238</v>
      </c>
    </row>
    <row r="173" spans="1:2" x14ac:dyDescent="0.25">
      <c r="A173" s="5">
        <v>2585</v>
      </c>
      <c r="B173" s="5" t="s">
        <v>239</v>
      </c>
    </row>
    <row r="174" spans="1:2" x14ac:dyDescent="0.25">
      <c r="A174" s="5">
        <v>8411</v>
      </c>
      <c r="B174" s="5" t="s">
        <v>240</v>
      </c>
    </row>
    <row r="175" spans="1:2" x14ac:dyDescent="0.25">
      <c r="A175" s="5">
        <v>7947</v>
      </c>
      <c r="B175" s="5" t="s">
        <v>241</v>
      </c>
    </row>
    <row r="176" spans="1:2" x14ac:dyDescent="0.25">
      <c r="A176" s="5">
        <v>18152</v>
      </c>
      <c r="B176" s="5" t="s">
        <v>242</v>
      </c>
    </row>
    <row r="177" spans="1:2" x14ac:dyDescent="0.25">
      <c r="A177" s="5">
        <v>2349</v>
      </c>
      <c r="B177" s="5" t="s">
        <v>243</v>
      </c>
    </row>
    <row r="178" spans="1:2" x14ac:dyDescent="0.25">
      <c r="A178" s="5">
        <v>18137</v>
      </c>
      <c r="B178" s="5" t="s">
        <v>244</v>
      </c>
    </row>
    <row r="179" spans="1:2" x14ac:dyDescent="0.25">
      <c r="A179" s="5">
        <v>2132</v>
      </c>
      <c r="B179" s="5" t="s">
        <v>245</v>
      </c>
    </row>
    <row r="180" spans="1:2" x14ac:dyDescent="0.25">
      <c r="A180" s="5">
        <v>8919</v>
      </c>
      <c r="B180" s="5" t="s">
        <v>246</v>
      </c>
    </row>
    <row r="181" spans="1:2" x14ac:dyDescent="0.25">
      <c r="A181" s="5">
        <v>8921</v>
      </c>
      <c r="B181" s="5" t="s">
        <v>247</v>
      </c>
    </row>
    <row r="182" spans="1:2" x14ac:dyDescent="0.25">
      <c r="A182" s="5">
        <v>11103</v>
      </c>
      <c r="B182" s="5" t="s">
        <v>248</v>
      </c>
    </row>
    <row r="183" spans="1:2" x14ac:dyDescent="0.25">
      <c r="A183" s="5">
        <v>11102</v>
      </c>
      <c r="B183" s="5" t="s">
        <v>249</v>
      </c>
    </row>
    <row r="184" spans="1:2" x14ac:dyDescent="0.25">
      <c r="A184" s="5">
        <v>8793</v>
      </c>
      <c r="B184" s="5" t="s">
        <v>250</v>
      </c>
    </row>
    <row r="185" spans="1:2" x14ac:dyDescent="0.25">
      <c r="A185" s="5">
        <v>8791</v>
      </c>
      <c r="B185" s="5" t="s">
        <v>251</v>
      </c>
    </row>
    <row r="186" spans="1:2" x14ac:dyDescent="0.25">
      <c r="A186" s="5">
        <v>13065</v>
      </c>
      <c r="B186" s="5" t="s">
        <v>252</v>
      </c>
    </row>
    <row r="187" spans="1:2" x14ac:dyDescent="0.25">
      <c r="A187" s="5">
        <v>13061</v>
      </c>
      <c r="B187" s="5" t="s">
        <v>253</v>
      </c>
    </row>
    <row r="188" spans="1:2" x14ac:dyDescent="0.25">
      <c r="A188" s="5">
        <v>22003</v>
      </c>
      <c r="B188" s="5" t="s">
        <v>254</v>
      </c>
    </row>
    <row r="189" spans="1:2" x14ac:dyDescent="0.25">
      <c r="A189" s="5">
        <v>22007</v>
      </c>
      <c r="B189" s="5" t="s">
        <v>255</v>
      </c>
    </row>
    <row r="190" spans="1:2" x14ac:dyDescent="0.25">
      <c r="A190" s="5">
        <v>29733</v>
      </c>
      <c r="B190" s="5" t="s">
        <v>256</v>
      </c>
    </row>
    <row r="191" spans="1:2" x14ac:dyDescent="0.25">
      <c r="A191" s="5">
        <v>22005</v>
      </c>
      <c r="B191" s="5" t="s">
        <v>257</v>
      </c>
    </row>
    <row r="192" spans="1:2" x14ac:dyDescent="0.25">
      <c r="A192" s="5">
        <v>27177</v>
      </c>
      <c r="B192" s="5" t="s">
        <v>258</v>
      </c>
    </row>
    <row r="193" spans="1:2" x14ac:dyDescent="0.25">
      <c r="A193" s="5">
        <v>27179</v>
      </c>
      <c r="B193" s="5" t="s">
        <v>259</v>
      </c>
    </row>
    <row r="194" spans="1:2" x14ac:dyDescent="0.25">
      <c r="A194" s="5">
        <v>34410</v>
      </c>
      <c r="B194" s="5" t="s">
        <v>260</v>
      </c>
    </row>
    <row r="195" spans="1:2" x14ac:dyDescent="0.25">
      <c r="A195" s="5">
        <v>29932</v>
      </c>
      <c r="B195" s="5" t="s">
        <v>261</v>
      </c>
    </row>
    <row r="196" spans="1:2" x14ac:dyDescent="0.25">
      <c r="A196" s="5">
        <v>29734</v>
      </c>
      <c r="B196" s="5" t="s">
        <v>262</v>
      </c>
    </row>
    <row r="197" spans="1:2" x14ac:dyDescent="0.25">
      <c r="A197" s="5">
        <v>29930</v>
      </c>
      <c r="B197" s="5" t="s">
        <v>263</v>
      </c>
    </row>
    <row r="198" spans="1:2" x14ac:dyDescent="0.25">
      <c r="A198" s="5">
        <v>22235</v>
      </c>
      <c r="B198" s="5" t="s">
        <v>264</v>
      </c>
    </row>
    <row r="199" spans="1:2" x14ac:dyDescent="0.25">
      <c r="A199" s="5">
        <v>30191</v>
      </c>
      <c r="B199" s="5" t="s">
        <v>265</v>
      </c>
    </row>
    <row r="200" spans="1:2" x14ac:dyDescent="0.25">
      <c r="A200" s="5">
        <v>28600</v>
      </c>
      <c r="B200" s="5" t="s">
        <v>266</v>
      </c>
    </row>
    <row r="201" spans="1:2" x14ac:dyDescent="0.25">
      <c r="A201" s="5">
        <v>23030</v>
      </c>
      <c r="B201" s="5" t="s">
        <v>267</v>
      </c>
    </row>
    <row r="202" spans="1:2" x14ac:dyDescent="0.25">
      <c r="A202" s="5">
        <v>23029</v>
      </c>
      <c r="B202" s="5" t="s">
        <v>268</v>
      </c>
    </row>
    <row r="203" spans="1:2" x14ac:dyDescent="0.25">
      <c r="A203" s="5">
        <v>21778</v>
      </c>
      <c r="B203" s="5" t="s">
        <v>269</v>
      </c>
    </row>
    <row r="204" spans="1:2" x14ac:dyDescent="0.25">
      <c r="A204" s="5">
        <v>21526</v>
      </c>
      <c r="B204" s="5" t="s">
        <v>270</v>
      </c>
    </row>
    <row r="205" spans="1:2" x14ac:dyDescent="0.25">
      <c r="A205" s="5">
        <v>29518</v>
      </c>
      <c r="B205" s="5" t="s">
        <v>271</v>
      </c>
    </row>
    <row r="206" spans="1:2" x14ac:dyDescent="0.25">
      <c r="A206" s="5">
        <v>29990</v>
      </c>
      <c r="B206" s="5" t="s">
        <v>272</v>
      </c>
    </row>
    <row r="207" spans="1:2" x14ac:dyDescent="0.25">
      <c r="A207" s="5">
        <v>34178</v>
      </c>
      <c r="B207" s="5" t="s">
        <v>273</v>
      </c>
    </row>
    <row r="208" spans="1:2" x14ac:dyDescent="0.25">
      <c r="A208" s="5">
        <v>30898</v>
      </c>
      <c r="B208" s="5" t="s">
        <v>274</v>
      </c>
    </row>
    <row r="209" spans="1:2" x14ac:dyDescent="0.25">
      <c r="A209" s="5">
        <v>34180</v>
      </c>
      <c r="B209" s="5" t="s">
        <v>275</v>
      </c>
    </row>
    <row r="210" spans="1:2" x14ac:dyDescent="0.25">
      <c r="A210" s="5">
        <v>30977</v>
      </c>
      <c r="B210" s="5" t="s">
        <v>276</v>
      </c>
    </row>
    <row r="211" spans="1:2" x14ac:dyDescent="0.25">
      <c r="A211" s="5">
        <v>27175</v>
      </c>
      <c r="B211" s="5" t="s">
        <v>277</v>
      </c>
    </row>
    <row r="212" spans="1:2" x14ac:dyDescent="0.25">
      <c r="A212" s="5">
        <v>22501</v>
      </c>
      <c r="B212" s="5" t="s">
        <v>278</v>
      </c>
    </row>
    <row r="213" spans="1:2" x14ac:dyDescent="0.25">
      <c r="A213" s="5">
        <v>11190</v>
      </c>
      <c r="B213" s="5" t="s">
        <v>279</v>
      </c>
    </row>
    <row r="214" spans="1:2" x14ac:dyDescent="0.25">
      <c r="A214" s="5">
        <v>15917</v>
      </c>
      <c r="B214" s="5" t="s">
        <v>280</v>
      </c>
    </row>
    <row r="215" spans="1:2" x14ac:dyDescent="0.25">
      <c r="A215" s="5">
        <v>11191</v>
      </c>
      <c r="B215" s="5" t="s">
        <v>281</v>
      </c>
    </row>
    <row r="216" spans="1:2" x14ac:dyDescent="0.25">
      <c r="A216" s="5">
        <v>15915</v>
      </c>
      <c r="B216" s="5" t="s">
        <v>282</v>
      </c>
    </row>
    <row r="217" spans="1:2" x14ac:dyDescent="0.25">
      <c r="A217" s="5">
        <v>9081</v>
      </c>
      <c r="B217" s="5" t="s">
        <v>283</v>
      </c>
    </row>
    <row r="218" spans="1:2" x14ac:dyDescent="0.25">
      <c r="A218" s="5">
        <v>371</v>
      </c>
      <c r="B218" s="5" t="s">
        <v>284</v>
      </c>
    </row>
    <row r="219" spans="1:2" x14ac:dyDescent="0.25">
      <c r="A219" s="5">
        <v>24168</v>
      </c>
      <c r="B219" s="5" t="s">
        <v>285</v>
      </c>
    </row>
    <row r="220" spans="1:2" x14ac:dyDescent="0.25">
      <c r="A220" s="5">
        <v>4262</v>
      </c>
      <c r="B220" s="5" t="s">
        <v>286</v>
      </c>
    </row>
    <row r="221" spans="1:2" x14ac:dyDescent="0.25">
      <c r="A221" s="5">
        <v>23450</v>
      </c>
      <c r="B221" s="5" t="s">
        <v>287</v>
      </c>
    </row>
    <row r="222" spans="1:2" x14ac:dyDescent="0.25">
      <c r="A222" s="5">
        <v>23449</v>
      </c>
      <c r="B222" s="5" t="s">
        <v>288</v>
      </c>
    </row>
    <row r="223" spans="1:2" x14ac:dyDescent="0.25">
      <c r="A223" s="5">
        <v>27686</v>
      </c>
      <c r="B223" s="5" t="s">
        <v>289</v>
      </c>
    </row>
    <row r="224" spans="1:2" x14ac:dyDescent="0.25">
      <c r="A224" s="5">
        <v>27704</v>
      </c>
      <c r="B224" s="5" t="s">
        <v>290</v>
      </c>
    </row>
    <row r="225" spans="1:2" x14ac:dyDescent="0.25">
      <c r="A225" s="5">
        <v>28216</v>
      </c>
      <c r="B225" s="5" t="s">
        <v>291</v>
      </c>
    </row>
    <row r="226" spans="1:2" x14ac:dyDescent="0.25">
      <c r="A226" s="5">
        <v>28214</v>
      </c>
      <c r="B226" s="5" t="s">
        <v>292</v>
      </c>
    </row>
    <row r="227" spans="1:2" x14ac:dyDescent="0.25">
      <c r="A227" s="5">
        <v>22106</v>
      </c>
      <c r="B227" s="5" t="s">
        <v>293</v>
      </c>
    </row>
    <row r="228" spans="1:2" x14ac:dyDescent="0.25">
      <c r="A228" s="5">
        <v>21786</v>
      </c>
      <c r="B228" s="5" t="s">
        <v>294</v>
      </c>
    </row>
    <row r="229" spans="1:2" x14ac:dyDescent="0.25">
      <c r="A229" s="5">
        <v>22830</v>
      </c>
      <c r="B229" s="5" t="s">
        <v>295</v>
      </c>
    </row>
    <row r="230" spans="1:2" x14ac:dyDescent="0.25">
      <c r="A230" s="5">
        <v>23233</v>
      </c>
      <c r="B230" s="5" t="s">
        <v>296</v>
      </c>
    </row>
    <row r="231" spans="1:2" x14ac:dyDescent="0.25">
      <c r="A231" s="5">
        <v>23064</v>
      </c>
      <c r="B231" s="5" t="s">
        <v>297</v>
      </c>
    </row>
    <row r="232" spans="1:2" x14ac:dyDescent="0.25">
      <c r="A232" s="5">
        <v>33219</v>
      </c>
      <c r="B232" s="5" t="s">
        <v>298</v>
      </c>
    </row>
    <row r="233" spans="1:2" x14ac:dyDescent="0.25">
      <c r="A233" s="5">
        <v>21898</v>
      </c>
      <c r="B233" s="5" t="s">
        <v>299</v>
      </c>
    </row>
    <row r="234" spans="1:2" x14ac:dyDescent="0.25">
      <c r="A234" s="5">
        <v>21900</v>
      </c>
      <c r="B234" s="5" t="s">
        <v>300</v>
      </c>
    </row>
    <row r="235" spans="1:2" x14ac:dyDescent="0.25">
      <c r="A235" s="5">
        <v>21892</v>
      </c>
      <c r="B235" s="5" t="s">
        <v>301</v>
      </c>
    </row>
    <row r="236" spans="1:2" x14ac:dyDescent="0.25">
      <c r="A236" s="5">
        <v>21894</v>
      </c>
      <c r="B236" s="5" t="s">
        <v>302</v>
      </c>
    </row>
    <row r="237" spans="1:2" x14ac:dyDescent="0.25">
      <c r="A237" s="5">
        <v>25151</v>
      </c>
      <c r="B237" s="5" t="s">
        <v>303</v>
      </c>
    </row>
    <row r="238" spans="1:2" x14ac:dyDescent="0.25">
      <c r="A238" s="5">
        <v>28700</v>
      </c>
      <c r="B238" s="5" t="s">
        <v>304</v>
      </c>
    </row>
    <row r="239" spans="1:2" x14ac:dyDescent="0.25">
      <c r="A239" s="5">
        <v>2546</v>
      </c>
      <c r="B239" s="5" t="s">
        <v>305</v>
      </c>
    </row>
    <row r="240" spans="1:2" x14ac:dyDescent="0.25">
      <c r="A240" s="5">
        <v>29253</v>
      </c>
      <c r="B240" s="5" t="s">
        <v>306</v>
      </c>
    </row>
    <row r="241" spans="1:2" x14ac:dyDescent="0.25">
      <c r="A241" s="5">
        <v>20217</v>
      </c>
      <c r="B241" s="5" t="s">
        <v>307</v>
      </c>
    </row>
    <row r="242" spans="1:2" x14ac:dyDescent="0.25">
      <c r="A242" s="5">
        <v>19310</v>
      </c>
      <c r="B242" s="5" t="s">
        <v>308</v>
      </c>
    </row>
    <row r="243" spans="1:2" x14ac:dyDescent="0.25">
      <c r="A243" s="5">
        <v>20603</v>
      </c>
      <c r="B243" s="5" t="s">
        <v>309</v>
      </c>
    </row>
    <row r="244" spans="1:2" x14ac:dyDescent="0.25">
      <c r="A244" s="5">
        <v>33818</v>
      </c>
      <c r="B244" s="5" t="s">
        <v>310</v>
      </c>
    </row>
    <row r="245" spans="1:2" x14ac:dyDescent="0.25">
      <c r="A245" s="5">
        <v>26462</v>
      </c>
      <c r="B245" s="5" t="s">
        <v>311</v>
      </c>
    </row>
    <row r="246" spans="1:2" x14ac:dyDescent="0.25">
      <c r="A246" s="5">
        <v>14340</v>
      </c>
      <c r="B246" s="5" t="s">
        <v>312</v>
      </c>
    </row>
    <row r="247" spans="1:2" x14ac:dyDescent="0.25">
      <c r="A247" s="5">
        <v>8336</v>
      </c>
      <c r="B247" s="5" t="s">
        <v>313</v>
      </c>
    </row>
    <row r="248" spans="1:2" x14ac:dyDescent="0.25">
      <c r="A248" s="5">
        <v>21887</v>
      </c>
      <c r="B248" s="5" t="s">
        <v>314</v>
      </c>
    </row>
    <row r="249" spans="1:2" x14ac:dyDescent="0.25">
      <c r="A249" s="5">
        <v>21789</v>
      </c>
      <c r="B249" s="5" t="s">
        <v>315</v>
      </c>
    </row>
    <row r="250" spans="1:2" x14ac:dyDescent="0.25">
      <c r="A250" s="5">
        <v>22382</v>
      </c>
      <c r="B250" s="5" t="s">
        <v>316</v>
      </c>
    </row>
    <row r="251" spans="1:2" x14ac:dyDescent="0.25">
      <c r="A251" s="5">
        <v>18772</v>
      </c>
      <c r="B251" s="5" t="s">
        <v>317</v>
      </c>
    </row>
    <row r="252" spans="1:2" x14ac:dyDescent="0.25">
      <c r="A252" s="5">
        <v>23444</v>
      </c>
      <c r="B252" s="5" t="s">
        <v>318</v>
      </c>
    </row>
    <row r="253" spans="1:2" x14ac:dyDescent="0.25">
      <c r="A253" s="5">
        <v>18490</v>
      </c>
      <c r="B253" s="5" t="s">
        <v>319</v>
      </c>
    </row>
    <row r="254" spans="1:2" x14ac:dyDescent="0.25">
      <c r="A254" s="5">
        <v>17276</v>
      </c>
      <c r="B254" s="5" t="s">
        <v>320</v>
      </c>
    </row>
    <row r="255" spans="1:2" x14ac:dyDescent="0.25">
      <c r="A255" s="5">
        <v>18764</v>
      </c>
      <c r="B255" s="5" t="s">
        <v>321</v>
      </c>
    </row>
    <row r="256" spans="1:2" x14ac:dyDescent="0.25">
      <c r="A256" s="5">
        <v>18750</v>
      </c>
      <c r="B256" s="5" t="s">
        <v>322</v>
      </c>
    </row>
    <row r="257" spans="1:2" x14ac:dyDescent="0.25">
      <c r="A257" s="5">
        <v>17268</v>
      </c>
      <c r="B257" s="5" t="s">
        <v>323</v>
      </c>
    </row>
    <row r="258" spans="1:2" x14ac:dyDescent="0.25">
      <c r="A258" s="5">
        <v>24158</v>
      </c>
      <c r="B258" s="5" t="s">
        <v>324</v>
      </c>
    </row>
    <row r="259" spans="1:2" x14ac:dyDescent="0.25">
      <c r="A259" s="5">
        <v>4221</v>
      </c>
      <c r="B259" s="5" t="s">
        <v>325</v>
      </c>
    </row>
    <row r="260" spans="1:2" x14ac:dyDescent="0.25">
      <c r="A260" s="5">
        <v>23216</v>
      </c>
      <c r="B260" s="5" t="s">
        <v>326</v>
      </c>
    </row>
    <row r="261" spans="1:2" x14ac:dyDescent="0.25">
      <c r="A261" s="5">
        <v>23218</v>
      </c>
      <c r="B261" s="5" t="s">
        <v>327</v>
      </c>
    </row>
    <row r="262" spans="1:2" x14ac:dyDescent="0.25">
      <c r="A262" s="5">
        <v>23220</v>
      </c>
      <c r="B262" s="5" t="s">
        <v>328</v>
      </c>
    </row>
    <row r="263" spans="1:2" x14ac:dyDescent="0.25">
      <c r="A263" s="5">
        <v>17278</v>
      </c>
      <c r="B263" s="5" t="s">
        <v>329</v>
      </c>
    </row>
    <row r="264" spans="1:2" x14ac:dyDescent="0.25">
      <c r="A264" s="5">
        <v>18765</v>
      </c>
      <c r="B264" s="5" t="s">
        <v>330</v>
      </c>
    </row>
    <row r="265" spans="1:2" x14ac:dyDescent="0.25">
      <c r="A265" s="5">
        <v>18752</v>
      </c>
      <c r="B265" s="5" t="s">
        <v>331</v>
      </c>
    </row>
    <row r="266" spans="1:2" x14ac:dyDescent="0.25">
      <c r="A266" s="5">
        <v>28512</v>
      </c>
      <c r="B266" s="5" t="s">
        <v>332</v>
      </c>
    </row>
    <row r="267" spans="1:2" x14ac:dyDescent="0.25">
      <c r="A267" s="5">
        <v>4293</v>
      </c>
      <c r="B267" s="5" t="s">
        <v>333</v>
      </c>
    </row>
    <row r="268" spans="1:2" x14ac:dyDescent="0.25">
      <c r="A268" s="5">
        <v>33167</v>
      </c>
      <c r="B268" s="5" t="s">
        <v>334</v>
      </c>
    </row>
    <row r="269" spans="1:2" x14ac:dyDescent="0.25">
      <c r="A269" s="5">
        <v>11593</v>
      </c>
      <c r="B269" s="5" t="s">
        <v>335</v>
      </c>
    </row>
    <row r="270" spans="1:2" x14ac:dyDescent="0.25">
      <c r="A270" s="5">
        <v>9096</v>
      </c>
      <c r="B270" s="5" t="s">
        <v>336</v>
      </c>
    </row>
    <row r="271" spans="1:2" x14ac:dyDescent="0.25">
      <c r="A271" s="5">
        <v>772</v>
      </c>
      <c r="B271" s="5" t="s">
        <v>337</v>
      </c>
    </row>
    <row r="272" spans="1:2" x14ac:dyDescent="0.25">
      <c r="A272" s="5">
        <v>18266</v>
      </c>
      <c r="B272" s="5" t="s">
        <v>338</v>
      </c>
    </row>
    <row r="273" spans="1:2" x14ac:dyDescent="0.25">
      <c r="A273" s="5">
        <v>8418</v>
      </c>
      <c r="B273" s="5" t="s">
        <v>339</v>
      </c>
    </row>
    <row r="274" spans="1:2" x14ac:dyDescent="0.25">
      <c r="A274" s="5">
        <v>7703</v>
      </c>
      <c r="B274" s="5" t="s">
        <v>340</v>
      </c>
    </row>
    <row r="275" spans="1:2" x14ac:dyDescent="0.25">
      <c r="A275" s="5">
        <v>5753</v>
      </c>
      <c r="B275" s="5" t="s">
        <v>341</v>
      </c>
    </row>
    <row r="276" spans="1:2" x14ac:dyDescent="0.25">
      <c r="A276" s="5">
        <v>7945</v>
      </c>
      <c r="B276" s="5" t="s">
        <v>342</v>
      </c>
    </row>
    <row r="277" spans="1:2" x14ac:dyDescent="0.25">
      <c r="A277" s="5">
        <v>504</v>
      </c>
      <c r="B277" s="5" t="s">
        <v>343</v>
      </c>
    </row>
    <row r="278" spans="1:2" x14ac:dyDescent="0.25">
      <c r="A278" s="5">
        <v>18341</v>
      </c>
      <c r="B278" s="5" t="s">
        <v>344</v>
      </c>
    </row>
    <row r="279" spans="1:2" x14ac:dyDescent="0.25">
      <c r="A279" s="5">
        <v>8923</v>
      </c>
      <c r="B279" s="5" t="s">
        <v>345</v>
      </c>
    </row>
    <row r="280" spans="1:2" x14ac:dyDescent="0.25">
      <c r="A280" s="5">
        <v>1331</v>
      </c>
      <c r="B280" s="5" t="s">
        <v>346</v>
      </c>
    </row>
    <row r="281" spans="1:2" x14ac:dyDescent="0.25">
      <c r="A281" s="5">
        <v>9093</v>
      </c>
      <c r="B281" s="5" t="s">
        <v>347</v>
      </c>
    </row>
    <row r="282" spans="1:2" x14ac:dyDescent="0.25">
      <c r="A282" s="5">
        <v>9442</v>
      </c>
      <c r="B282" s="5" t="s">
        <v>348</v>
      </c>
    </row>
    <row r="283" spans="1:2" x14ac:dyDescent="0.25">
      <c r="A283" s="5">
        <v>20178</v>
      </c>
      <c r="B283" s="5" t="s">
        <v>349</v>
      </c>
    </row>
    <row r="284" spans="1:2" x14ac:dyDescent="0.25">
      <c r="A284" s="5">
        <v>4409</v>
      </c>
      <c r="B284" s="5" t="s">
        <v>350</v>
      </c>
    </row>
    <row r="285" spans="1:2" x14ac:dyDescent="0.25">
      <c r="A285" s="5">
        <v>9274</v>
      </c>
      <c r="B285" s="5" t="s">
        <v>351</v>
      </c>
    </row>
    <row r="286" spans="1:2" x14ac:dyDescent="0.25">
      <c r="A286" s="5">
        <v>15190</v>
      </c>
      <c r="B286" s="5" t="s">
        <v>352</v>
      </c>
    </row>
    <row r="287" spans="1:2" x14ac:dyDescent="0.25">
      <c r="A287" s="5">
        <v>9276</v>
      </c>
      <c r="B287" s="5" t="s">
        <v>353</v>
      </c>
    </row>
    <row r="288" spans="1:2" x14ac:dyDescent="0.25">
      <c r="A288" s="5">
        <v>23256</v>
      </c>
      <c r="B288" s="5" t="s">
        <v>354</v>
      </c>
    </row>
    <row r="289" spans="1:2" x14ac:dyDescent="0.25">
      <c r="A289" s="5">
        <v>23246</v>
      </c>
      <c r="B289" s="5" t="s">
        <v>355</v>
      </c>
    </row>
    <row r="290" spans="1:2" x14ac:dyDescent="0.25">
      <c r="A290" s="5">
        <v>23060</v>
      </c>
      <c r="B290" s="5" t="s">
        <v>356</v>
      </c>
    </row>
    <row r="291" spans="1:2" x14ac:dyDescent="0.25">
      <c r="A291" s="5">
        <v>23055</v>
      </c>
      <c r="B291" s="5" t="s">
        <v>357</v>
      </c>
    </row>
    <row r="292" spans="1:2" x14ac:dyDescent="0.25">
      <c r="A292" s="5">
        <v>31894</v>
      </c>
      <c r="B292" s="5" t="s">
        <v>358</v>
      </c>
    </row>
    <row r="293" spans="1:2" x14ac:dyDescent="0.25">
      <c r="A293" s="5">
        <v>31875</v>
      </c>
      <c r="B293" s="5" t="s">
        <v>359</v>
      </c>
    </row>
    <row r="294" spans="1:2" x14ac:dyDescent="0.25">
      <c r="A294" s="5">
        <v>23594</v>
      </c>
      <c r="B294" s="5" t="s">
        <v>360</v>
      </c>
    </row>
    <row r="295" spans="1:2" x14ac:dyDescent="0.25">
      <c r="A295" s="5">
        <v>21791</v>
      </c>
      <c r="B295" s="5" t="s">
        <v>361</v>
      </c>
    </row>
    <row r="296" spans="1:2" x14ac:dyDescent="0.25">
      <c r="A296" s="5">
        <v>34655</v>
      </c>
      <c r="B296" s="5" t="s">
        <v>362</v>
      </c>
    </row>
    <row r="297" spans="1:2" x14ac:dyDescent="0.25">
      <c r="A297" s="5">
        <v>22641</v>
      </c>
      <c r="B297" s="5" t="s">
        <v>363</v>
      </c>
    </row>
    <row r="298" spans="1:2" x14ac:dyDescent="0.25">
      <c r="A298" s="5">
        <v>24044</v>
      </c>
      <c r="B298" s="5" t="s">
        <v>364</v>
      </c>
    </row>
    <row r="299" spans="1:2" x14ac:dyDescent="0.25">
      <c r="A299" s="5">
        <v>24042</v>
      </c>
      <c r="B299" s="5" t="s">
        <v>365</v>
      </c>
    </row>
    <row r="300" spans="1:2" x14ac:dyDescent="0.25">
      <c r="A300" s="5">
        <v>24046</v>
      </c>
      <c r="B300" s="5" t="s">
        <v>366</v>
      </c>
    </row>
    <row r="301" spans="1:2" x14ac:dyDescent="0.25">
      <c r="A301" s="5">
        <v>29623</v>
      </c>
      <c r="B301" s="5" t="s">
        <v>367</v>
      </c>
    </row>
    <row r="302" spans="1:2" x14ac:dyDescent="0.25">
      <c r="A302" s="5">
        <v>34429</v>
      </c>
      <c r="B302" s="5" t="s">
        <v>368</v>
      </c>
    </row>
    <row r="303" spans="1:2" x14ac:dyDescent="0.25">
      <c r="A303" s="5">
        <v>19225</v>
      </c>
      <c r="B303" s="5" t="s">
        <v>369</v>
      </c>
    </row>
    <row r="304" spans="1:2" x14ac:dyDescent="0.25">
      <c r="A304" s="5">
        <v>19229</v>
      </c>
      <c r="B304" s="5" t="s">
        <v>370</v>
      </c>
    </row>
    <row r="305" spans="1:2" x14ac:dyDescent="0.25">
      <c r="A305" s="5">
        <v>19227</v>
      </c>
      <c r="B305" s="5" t="s">
        <v>371</v>
      </c>
    </row>
    <row r="306" spans="1:2" x14ac:dyDescent="0.25">
      <c r="A306" s="5">
        <v>30045</v>
      </c>
      <c r="B306" s="5" t="s">
        <v>372</v>
      </c>
    </row>
    <row r="307" spans="1:2" x14ac:dyDescent="0.25">
      <c r="A307" s="5">
        <v>24306</v>
      </c>
      <c r="B307" s="5" t="s">
        <v>373</v>
      </c>
    </row>
    <row r="308" spans="1:2" x14ac:dyDescent="0.25">
      <c r="A308" s="5">
        <v>26607</v>
      </c>
      <c r="B308" s="5" t="s">
        <v>374</v>
      </c>
    </row>
    <row r="309" spans="1:2" x14ac:dyDescent="0.25">
      <c r="A309" s="5">
        <v>32969</v>
      </c>
      <c r="B309" s="5" t="s">
        <v>375</v>
      </c>
    </row>
    <row r="310" spans="1:2" x14ac:dyDescent="0.25">
      <c r="A310" s="5">
        <v>34770</v>
      </c>
      <c r="B310" s="5" t="s">
        <v>376</v>
      </c>
    </row>
    <row r="311" spans="1:2" x14ac:dyDescent="0.25">
      <c r="A311" s="5">
        <v>34126</v>
      </c>
      <c r="B311" s="5" t="s">
        <v>377</v>
      </c>
    </row>
    <row r="312" spans="1:2" x14ac:dyDescent="0.25">
      <c r="A312" s="5">
        <v>19231</v>
      </c>
      <c r="B312" s="5" t="s">
        <v>378</v>
      </c>
    </row>
    <row r="313" spans="1:2" x14ac:dyDescent="0.25">
      <c r="A313" s="5">
        <v>34133</v>
      </c>
      <c r="B313" s="5" t="s">
        <v>379</v>
      </c>
    </row>
    <row r="314" spans="1:2" x14ac:dyDescent="0.25">
      <c r="A314" s="5">
        <v>34420</v>
      </c>
      <c r="B314" s="5" t="s">
        <v>380</v>
      </c>
    </row>
    <row r="315" spans="1:2" x14ac:dyDescent="0.25">
      <c r="A315" s="5">
        <v>21666</v>
      </c>
      <c r="B315" s="5" t="s">
        <v>381</v>
      </c>
    </row>
    <row r="316" spans="1:2" x14ac:dyDescent="0.25">
      <c r="A316" s="5">
        <v>34432</v>
      </c>
      <c r="B316" s="5" t="s">
        <v>382</v>
      </c>
    </row>
    <row r="317" spans="1:2" x14ac:dyDescent="0.25">
      <c r="A317" s="5">
        <v>32541</v>
      </c>
      <c r="B317" s="5" t="s">
        <v>383</v>
      </c>
    </row>
    <row r="318" spans="1:2" x14ac:dyDescent="0.25">
      <c r="A318" s="5">
        <v>29891</v>
      </c>
      <c r="B318" s="5" t="s">
        <v>384</v>
      </c>
    </row>
    <row r="319" spans="1:2" x14ac:dyDescent="0.25">
      <c r="A319" s="5">
        <v>24267</v>
      </c>
      <c r="B319" s="5" t="s">
        <v>385</v>
      </c>
    </row>
    <row r="320" spans="1:2" x14ac:dyDescent="0.25">
      <c r="A320" s="5">
        <v>24608</v>
      </c>
      <c r="B320" s="5" t="s">
        <v>386</v>
      </c>
    </row>
    <row r="321" spans="1:2" x14ac:dyDescent="0.25">
      <c r="A321" s="5">
        <v>27375</v>
      </c>
      <c r="B321" s="5" t="s">
        <v>387</v>
      </c>
    </row>
    <row r="322" spans="1:2" x14ac:dyDescent="0.25">
      <c r="A322" s="5">
        <v>21845</v>
      </c>
      <c r="B322" s="5" t="s">
        <v>388</v>
      </c>
    </row>
    <row r="323" spans="1:2" x14ac:dyDescent="0.25">
      <c r="A323" s="5">
        <v>18135</v>
      </c>
      <c r="B323" s="5" t="s">
        <v>389</v>
      </c>
    </row>
    <row r="324" spans="1:2" x14ac:dyDescent="0.25">
      <c r="A324" s="5">
        <v>982</v>
      </c>
      <c r="B324" s="5" t="s">
        <v>390</v>
      </c>
    </row>
    <row r="325" spans="1:2" x14ac:dyDescent="0.25">
      <c r="A325" s="5">
        <v>29485</v>
      </c>
      <c r="B325" s="5" t="s">
        <v>391</v>
      </c>
    </row>
    <row r="326" spans="1:2" x14ac:dyDescent="0.25">
      <c r="A326" s="5">
        <v>29974</v>
      </c>
      <c r="B326" s="5" t="s">
        <v>392</v>
      </c>
    </row>
    <row r="327" spans="1:2" x14ac:dyDescent="0.25">
      <c r="A327" s="5">
        <v>23269</v>
      </c>
      <c r="B327" s="5" t="s">
        <v>393</v>
      </c>
    </row>
    <row r="328" spans="1:2" x14ac:dyDescent="0.25">
      <c r="A328" s="5">
        <v>21119</v>
      </c>
      <c r="B328" s="5" t="s">
        <v>394</v>
      </c>
    </row>
    <row r="329" spans="1:2" x14ac:dyDescent="0.25">
      <c r="A329" s="5">
        <v>13566</v>
      </c>
      <c r="B329" s="5" t="s">
        <v>395</v>
      </c>
    </row>
    <row r="330" spans="1:2" x14ac:dyDescent="0.25">
      <c r="A330" s="5">
        <v>23271</v>
      </c>
      <c r="B330" s="5" t="s">
        <v>396</v>
      </c>
    </row>
    <row r="331" spans="1:2" x14ac:dyDescent="0.25">
      <c r="A331" s="5">
        <v>29991</v>
      </c>
      <c r="B331" s="5" t="s">
        <v>397</v>
      </c>
    </row>
    <row r="332" spans="1:2" x14ac:dyDescent="0.25">
      <c r="A332" s="5">
        <v>14138</v>
      </c>
      <c r="B332" s="5" t="s">
        <v>398</v>
      </c>
    </row>
    <row r="333" spans="1:2" x14ac:dyDescent="0.25">
      <c r="A333" s="5">
        <v>28137</v>
      </c>
      <c r="B333" s="5" t="s">
        <v>399</v>
      </c>
    </row>
    <row r="334" spans="1:2" x14ac:dyDescent="0.25">
      <c r="A334" s="5">
        <v>1388</v>
      </c>
      <c r="B334" s="5" t="s">
        <v>400</v>
      </c>
    </row>
    <row r="335" spans="1:2" x14ac:dyDescent="0.25">
      <c r="A335" s="5">
        <v>13205</v>
      </c>
      <c r="B335" s="5" t="s">
        <v>401</v>
      </c>
    </row>
    <row r="336" spans="1:2" x14ac:dyDescent="0.25">
      <c r="A336" s="5">
        <v>34608</v>
      </c>
      <c r="B336" s="5" t="s">
        <v>402</v>
      </c>
    </row>
    <row r="337" spans="1:2" x14ac:dyDescent="0.25">
      <c r="A337" s="5">
        <v>9068</v>
      </c>
      <c r="B337" s="5" t="s">
        <v>403</v>
      </c>
    </row>
    <row r="338" spans="1:2" x14ac:dyDescent="0.25">
      <c r="A338" s="5">
        <v>17678</v>
      </c>
      <c r="B338" s="5" t="s">
        <v>404</v>
      </c>
    </row>
    <row r="339" spans="1:2" x14ac:dyDescent="0.25">
      <c r="A339" s="5">
        <v>1745</v>
      </c>
      <c r="B339" s="5" t="s">
        <v>405</v>
      </c>
    </row>
    <row r="340" spans="1:2" x14ac:dyDescent="0.25">
      <c r="A340" s="5">
        <v>9083</v>
      </c>
      <c r="B340" s="5" t="s">
        <v>406</v>
      </c>
    </row>
    <row r="341" spans="1:2" x14ac:dyDescent="0.25">
      <c r="A341" s="5">
        <v>11518</v>
      </c>
      <c r="B341" s="5" t="s">
        <v>407</v>
      </c>
    </row>
    <row r="342" spans="1:2" x14ac:dyDescent="0.25">
      <c r="A342" s="5">
        <v>21781</v>
      </c>
      <c r="B342" s="5" t="s">
        <v>408</v>
      </c>
    </row>
    <row r="343" spans="1:2" x14ac:dyDescent="0.25">
      <c r="A343" s="5">
        <v>32854</v>
      </c>
      <c r="B343" s="5" t="s">
        <v>409</v>
      </c>
    </row>
    <row r="344" spans="1:2" x14ac:dyDescent="0.25">
      <c r="A344" s="5">
        <v>21530</v>
      </c>
      <c r="B344" s="5" t="s">
        <v>410</v>
      </c>
    </row>
    <row r="345" spans="1:2" x14ac:dyDescent="0.25">
      <c r="A345" s="5">
        <v>32122</v>
      </c>
      <c r="B345" s="5" t="s">
        <v>411</v>
      </c>
    </row>
    <row r="346" spans="1:2" x14ac:dyDescent="0.25">
      <c r="A346" s="5">
        <v>18267</v>
      </c>
      <c r="B346" s="5" t="s">
        <v>412</v>
      </c>
    </row>
    <row r="347" spans="1:2" x14ac:dyDescent="0.25">
      <c r="A347" s="5">
        <v>9087</v>
      </c>
      <c r="B347" s="5" t="s">
        <v>413</v>
      </c>
    </row>
    <row r="348" spans="1:2" x14ac:dyDescent="0.25">
      <c r="A348" s="5">
        <v>2248</v>
      </c>
      <c r="B348" s="5" t="s">
        <v>414</v>
      </c>
    </row>
    <row r="349" spans="1:2" x14ac:dyDescent="0.25">
      <c r="A349" s="5">
        <v>9088</v>
      </c>
      <c r="B349" s="5" t="s">
        <v>415</v>
      </c>
    </row>
    <row r="350" spans="1:2" x14ac:dyDescent="0.25">
      <c r="A350" s="5">
        <v>2354</v>
      </c>
      <c r="B350" s="5" t="s">
        <v>416</v>
      </c>
    </row>
    <row r="351" spans="1:2" x14ac:dyDescent="0.25">
      <c r="A351" s="5">
        <v>2350</v>
      </c>
      <c r="B351" s="5" t="s">
        <v>417</v>
      </c>
    </row>
    <row r="352" spans="1:2" x14ac:dyDescent="0.25">
      <c r="A352" s="5">
        <v>8933</v>
      </c>
      <c r="B352" s="5" t="s">
        <v>418</v>
      </c>
    </row>
    <row r="353" spans="1:2" x14ac:dyDescent="0.25">
      <c r="A353" s="5">
        <v>26204</v>
      </c>
      <c r="B353" s="5" t="s">
        <v>419</v>
      </c>
    </row>
    <row r="354" spans="1:2" x14ac:dyDescent="0.25">
      <c r="A354" s="5">
        <v>25837</v>
      </c>
      <c r="B354" s="5" t="s">
        <v>420</v>
      </c>
    </row>
    <row r="355" spans="1:2" x14ac:dyDescent="0.25">
      <c r="A355" s="5">
        <v>23186</v>
      </c>
      <c r="B355" s="5" t="s">
        <v>421</v>
      </c>
    </row>
    <row r="356" spans="1:2" x14ac:dyDescent="0.25">
      <c r="A356" s="5">
        <v>21632</v>
      </c>
      <c r="B356" s="5" t="s">
        <v>422</v>
      </c>
    </row>
    <row r="357" spans="1:2" x14ac:dyDescent="0.25">
      <c r="A357" s="5">
        <v>30942</v>
      </c>
      <c r="B357" s="5" t="s">
        <v>423</v>
      </c>
    </row>
    <row r="358" spans="1:2" x14ac:dyDescent="0.25">
      <c r="A358" s="5">
        <v>21658</v>
      </c>
      <c r="B358" s="5" t="s">
        <v>424</v>
      </c>
    </row>
    <row r="359" spans="1:2" x14ac:dyDescent="0.25">
      <c r="A359" s="5">
        <v>21668</v>
      </c>
      <c r="B359" s="5" t="s">
        <v>425</v>
      </c>
    </row>
    <row r="360" spans="1:2" x14ac:dyDescent="0.25">
      <c r="A360" s="5">
        <v>23631</v>
      </c>
      <c r="B360" s="5" t="s">
        <v>426</v>
      </c>
    </row>
    <row r="361" spans="1:2" x14ac:dyDescent="0.25">
      <c r="A361" s="5">
        <v>23632</v>
      </c>
      <c r="B361" s="5" t="s">
        <v>427</v>
      </c>
    </row>
    <row r="362" spans="1:2" x14ac:dyDescent="0.25">
      <c r="A362" s="5">
        <v>23635</v>
      </c>
      <c r="B362" s="5" t="s">
        <v>428</v>
      </c>
    </row>
    <row r="363" spans="1:2" x14ac:dyDescent="0.25">
      <c r="A363" s="5">
        <v>23636</v>
      </c>
      <c r="B363" s="5" t="s">
        <v>429</v>
      </c>
    </row>
    <row r="364" spans="1:2" x14ac:dyDescent="0.25">
      <c r="A364" s="5">
        <v>23637</v>
      </c>
      <c r="B364" s="5" t="s">
        <v>430</v>
      </c>
    </row>
    <row r="365" spans="1:2" x14ac:dyDescent="0.25">
      <c r="A365" s="5">
        <v>32473</v>
      </c>
      <c r="B365" s="5" t="s">
        <v>431</v>
      </c>
    </row>
    <row r="366" spans="1:2" x14ac:dyDescent="0.25">
      <c r="A366" s="5">
        <v>32500</v>
      </c>
      <c r="B366" s="5" t="s">
        <v>432</v>
      </c>
    </row>
    <row r="367" spans="1:2" x14ac:dyDescent="0.25">
      <c r="A367" s="5">
        <v>20530</v>
      </c>
      <c r="B367" s="5" t="s">
        <v>433</v>
      </c>
    </row>
    <row r="368" spans="1:2" x14ac:dyDescent="0.25">
      <c r="A368" s="5">
        <v>15135</v>
      </c>
      <c r="B368" s="5" t="s">
        <v>434</v>
      </c>
    </row>
    <row r="369" spans="1:2" x14ac:dyDescent="0.25">
      <c r="A369" s="5">
        <v>18807</v>
      </c>
      <c r="B369" s="5" t="s">
        <v>435</v>
      </c>
    </row>
    <row r="370" spans="1:2" x14ac:dyDescent="0.25">
      <c r="A370" s="5">
        <v>26188</v>
      </c>
      <c r="B370" s="5" t="s">
        <v>436</v>
      </c>
    </row>
    <row r="371" spans="1:2" x14ac:dyDescent="0.25">
      <c r="A371" s="5">
        <v>19729</v>
      </c>
      <c r="B371" s="5" t="s">
        <v>437</v>
      </c>
    </row>
    <row r="372" spans="1:2" x14ac:dyDescent="0.25">
      <c r="A372" s="5">
        <v>1699</v>
      </c>
      <c r="B372" s="5" t="s">
        <v>438</v>
      </c>
    </row>
    <row r="373" spans="1:2" x14ac:dyDescent="0.25">
      <c r="A373" s="5">
        <v>20535</v>
      </c>
      <c r="B373" s="5" t="s">
        <v>439</v>
      </c>
    </row>
    <row r="374" spans="1:2" x14ac:dyDescent="0.25">
      <c r="A374" s="5">
        <v>29580</v>
      </c>
      <c r="B374" s="5" t="s">
        <v>440</v>
      </c>
    </row>
    <row r="375" spans="1:2" x14ac:dyDescent="0.25">
      <c r="A375" s="5">
        <v>9089</v>
      </c>
      <c r="B375" s="5" t="s">
        <v>441</v>
      </c>
    </row>
    <row r="376" spans="1:2" x14ac:dyDescent="0.25">
      <c r="A376" s="5">
        <v>21441</v>
      </c>
      <c r="B376" s="5" t="s">
        <v>442</v>
      </c>
    </row>
    <row r="377" spans="1:2" x14ac:dyDescent="0.25">
      <c r="A377" s="5">
        <v>7431</v>
      </c>
      <c r="B377" s="5" t="s">
        <v>443</v>
      </c>
    </row>
    <row r="378" spans="1:2" x14ac:dyDescent="0.25">
      <c r="A378" s="5">
        <v>253</v>
      </c>
      <c r="B378" s="5" t="s">
        <v>444</v>
      </c>
    </row>
    <row r="379" spans="1:2" x14ac:dyDescent="0.25">
      <c r="A379" s="5">
        <v>18268</v>
      </c>
      <c r="B379" s="5" t="s">
        <v>445</v>
      </c>
    </row>
    <row r="380" spans="1:2" x14ac:dyDescent="0.25">
      <c r="A380" s="5">
        <v>503</v>
      </c>
      <c r="B380" s="5" t="s">
        <v>446</v>
      </c>
    </row>
    <row r="381" spans="1:2" x14ac:dyDescent="0.25">
      <c r="A381" s="5">
        <v>8931</v>
      </c>
      <c r="B381" s="5" t="s">
        <v>447</v>
      </c>
    </row>
    <row r="382" spans="1:2" x14ac:dyDescent="0.25">
      <c r="A382" s="5">
        <v>23163</v>
      </c>
      <c r="B382" s="5" t="s">
        <v>448</v>
      </c>
    </row>
    <row r="383" spans="1:2" x14ac:dyDescent="0.25">
      <c r="A383" s="5">
        <v>1164</v>
      </c>
      <c r="B383" s="5" t="s">
        <v>449</v>
      </c>
    </row>
    <row r="384" spans="1:2" x14ac:dyDescent="0.25">
      <c r="A384" s="5">
        <v>1166</v>
      </c>
      <c r="B384" s="5" t="s">
        <v>450</v>
      </c>
    </row>
    <row r="385" spans="1:2" x14ac:dyDescent="0.25">
      <c r="A385" s="5">
        <v>29215</v>
      </c>
      <c r="B385" s="5" t="s">
        <v>451</v>
      </c>
    </row>
    <row r="386" spans="1:2" x14ac:dyDescent="0.25">
      <c r="A386" s="5">
        <v>29201</v>
      </c>
      <c r="B386" s="5" t="s">
        <v>452</v>
      </c>
    </row>
    <row r="387" spans="1:2" x14ac:dyDescent="0.25">
      <c r="A387" s="5">
        <v>29199</v>
      </c>
      <c r="B387" s="5" t="s">
        <v>453</v>
      </c>
    </row>
    <row r="388" spans="1:2" x14ac:dyDescent="0.25">
      <c r="A388" s="5">
        <v>29197</v>
      </c>
      <c r="B388" s="5" t="s">
        <v>454</v>
      </c>
    </row>
    <row r="389" spans="1:2" x14ac:dyDescent="0.25">
      <c r="A389" s="5">
        <v>29209</v>
      </c>
      <c r="B389" s="5" t="s">
        <v>455</v>
      </c>
    </row>
    <row r="390" spans="1:2" x14ac:dyDescent="0.25">
      <c r="A390" s="5">
        <v>29207</v>
      </c>
      <c r="B390" s="5" t="s">
        <v>456</v>
      </c>
    </row>
    <row r="391" spans="1:2" x14ac:dyDescent="0.25">
      <c r="A391" s="5">
        <v>21527</v>
      </c>
      <c r="B391" s="5" t="s">
        <v>457</v>
      </c>
    </row>
    <row r="392" spans="1:2" x14ac:dyDescent="0.25">
      <c r="A392" s="5">
        <v>2237</v>
      </c>
      <c r="B392" s="5" t="s">
        <v>458</v>
      </c>
    </row>
    <row r="393" spans="1:2" x14ac:dyDescent="0.25">
      <c r="A393" s="5">
        <v>9092</v>
      </c>
      <c r="B393" s="5" t="s">
        <v>459</v>
      </c>
    </row>
    <row r="394" spans="1:2" x14ac:dyDescent="0.25">
      <c r="A394" s="5">
        <v>9091</v>
      </c>
      <c r="B394" s="5" t="s">
        <v>460</v>
      </c>
    </row>
    <row r="395" spans="1:2" x14ac:dyDescent="0.25">
      <c r="A395" s="5">
        <v>22200</v>
      </c>
      <c r="B395" s="5" t="s">
        <v>461</v>
      </c>
    </row>
    <row r="396" spans="1:2" x14ac:dyDescent="0.25">
      <c r="A396" s="5">
        <v>22202</v>
      </c>
      <c r="B396" s="5" t="s">
        <v>462</v>
      </c>
    </row>
    <row r="397" spans="1:2" x14ac:dyDescent="0.25">
      <c r="A397" s="5">
        <v>34296</v>
      </c>
      <c r="B397" s="5" t="s">
        <v>463</v>
      </c>
    </row>
    <row r="398" spans="1:2" x14ac:dyDescent="0.25">
      <c r="A398" s="5">
        <v>21968</v>
      </c>
      <c r="B398" s="5" t="s">
        <v>464</v>
      </c>
    </row>
    <row r="399" spans="1:2" x14ac:dyDescent="0.25">
      <c r="A399" s="5">
        <v>21973</v>
      </c>
      <c r="B399" s="5" t="s">
        <v>465</v>
      </c>
    </row>
    <row r="400" spans="1:2" x14ac:dyDescent="0.25">
      <c r="A400" s="5">
        <v>21970</v>
      </c>
      <c r="B400" s="5" t="s">
        <v>466</v>
      </c>
    </row>
    <row r="401" spans="1:2" x14ac:dyDescent="0.25">
      <c r="A401" s="5">
        <v>34298</v>
      </c>
      <c r="B401" s="5" t="s">
        <v>467</v>
      </c>
    </row>
    <row r="402" spans="1:2" x14ac:dyDescent="0.25">
      <c r="A402" s="5">
        <v>21974</v>
      </c>
      <c r="B402" s="5" t="s">
        <v>468</v>
      </c>
    </row>
    <row r="403" spans="1:2" x14ac:dyDescent="0.25">
      <c r="A403" s="5">
        <v>35003</v>
      </c>
      <c r="B403" s="5" t="s">
        <v>469</v>
      </c>
    </row>
    <row r="404" spans="1:2" x14ac:dyDescent="0.25">
      <c r="A404" s="5">
        <v>34779</v>
      </c>
      <c r="B404" s="5" t="s">
        <v>470</v>
      </c>
    </row>
    <row r="405" spans="1:2" x14ac:dyDescent="0.25">
      <c r="A405" s="5">
        <v>26099</v>
      </c>
      <c r="B405" s="5" t="s">
        <v>471</v>
      </c>
    </row>
    <row r="406" spans="1:2" x14ac:dyDescent="0.25">
      <c r="A406" s="5">
        <v>21779</v>
      </c>
      <c r="B406" s="5" t="s">
        <v>472</v>
      </c>
    </row>
    <row r="407" spans="1:2" x14ac:dyDescent="0.25">
      <c r="A407" s="5">
        <v>21792</v>
      </c>
      <c r="B407" s="5" t="s">
        <v>473</v>
      </c>
    </row>
    <row r="408" spans="1:2" x14ac:dyDescent="0.25">
      <c r="A408" s="5">
        <v>29934</v>
      </c>
      <c r="B408" s="5" t="s">
        <v>474</v>
      </c>
    </row>
    <row r="409" spans="1:2" x14ac:dyDescent="0.25">
      <c r="A409" s="5">
        <v>31710</v>
      </c>
      <c r="B409" s="5" t="s">
        <v>475</v>
      </c>
    </row>
    <row r="410" spans="1:2" x14ac:dyDescent="0.25">
      <c r="A410" s="5">
        <v>32718</v>
      </c>
      <c r="B410" s="5" t="s">
        <v>476</v>
      </c>
    </row>
    <row r="411" spans="1:2" x14ac:dyDescent="0.25">
      <c r="A411" s="5">
        <v>32354</v>
      </c>
      <c r="B411" s="5" t="s">
        <v>477</v>
      </c>
    </row>
    <row r="412" spans="1:2" x14ac:dyDescent="0.25">
      <c r="A412" s="5">
        <v>32355</v>
      </c>
      <c r="B412" s="5" t="s">
        <v>478</v>
      </c>
    </row>
    <row r="413" spans="1:2" x14ac:dyDescent="0.25">
      <c r="A413" s="5">
        <v>31791</v>
      </c>
      <c r="B413" s="5" t="s">
        <v>479</v>
      </c>
    </row>
    <row r="414" spans="1:2" x14ac:dyDescent="0.25">
      <c r="A414" s="5">
        <v>29042</v>
      </c>
      <c r="B414" s="5" t="s">
        <v>480</v>
      </c>
    </row>
    <row r="415" spans="1:2" x14ac:dyDescent="0.25">
      <c r="A415" s="5">
        <v>26936</v>
      </c>
      <c r="B415" s="5" t="s">
        <v>481</v>
      </c>
    </row>
    <row r="416" spans="1:2" x14ac:dyDescent="0.25">
      <c r="A416" s="5">
        <v>29462</v>
      </c>
      <c r="B416" s="5" t="s">
        <v>482</v>
      </c>
    </row>
    <row r="417" spans="1:2" x14ac:dyDescent="0.25">
      <c r="A417" s="5">
        <v>29474</v>
      </c>
      <c r="B417" s="5" t="s">
        <v>483</v>
      </c>
    </row>
    <row r="418" spans="1:2" x14ac:dyDescent="0.25">
      <c r="A418" s="5">
        <v>29460</v>
      </c>
      <c r="B418" s="5" t="s">
        <v>484</v>
      </c>
    </row>
    <row r="419" spans="1:2" x14ac:dyDescent="0.25">
      <c r="A419" s="5">
        <v>29463</v>
      </c>
      <c r="B419" s="5" t="s">
        <v>485</v>
      </c>
    </row>
    <row r="420" spans="1:2" x14ac:dyDescent="0.25">
      <c r="A420" s="5">
        <v>29461</v>
      </c>
      <c r="B420" s="5" t="s">
        <v>486</v>
      </c>
    </row>
    <row r="421" spans="1:2" x14ac:dyDescent="0.25">
      <c r="A421" s="5">
        <v>29503</v>
      </c>
      <c r="B421" s="5" t="s">
        <v>487</v>
      </c>
    </row>
    <row r="422" spans="1:2" x14ac:dyDescent="0.25">
      <c r="A422" s="5">
        <v>29481</v>
      </c>
      <c r="B422" s="5" t="s">
        <v>488</v>
      </c>
    </row>
    <row r="423" spans="1:2" x14ac:dyDescent="0.25">
      <c r="A423" s="5">
        <v>29477</v>
      </c>
      <c r="B423" s="5" t="s">
        <v>489</v>
      </c>
    </row>
    <row r="424" spans="1:2" x14ac:dyDescent="0.25">
      <c r="A424" s="5">
        <v>21391</v>
      </c>
      <c r="B424" s="5" t="s">
        <v>490</v>
      </c>
    </row>
  </sheetData>
  <autoFilter ref="A1:B424" xr:uid="{BCA0FA71-EFCE-444C-AF89-6CF5C7FF5A5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Gestao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MELO DE ARAUJO</cp:lastModifiedBy>
  <dcterms:created xsi:type="dcterms:W3CDTF">2025-12-16T23:27:31Z</dcterms:created>
  <dcterms:modified xsi:type="dcterms:W3CDTF">2026-01-27T14:56:35Z</dcterms:modified>
</cp:coreProperties>
</file>